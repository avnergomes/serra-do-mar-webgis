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30" windowHeight="7455" tabRatio="809" activeTab="2"/>
  </bookViews>
  <sheets>
    <sheet name="big 500" sheetId="28" r:id="rId1"/>
    <sheet name="Croquiteca Raiz 1000" sheetId="27" r:id="rId2"/>
    <sheet name="Anhangava" sheetId="2" r:id="rId3"/>
    <sheet name="Boulder Anhangava" sheetId="11" r:id="rId4"/>
    <sheet name="Castelinhos do Anhangava" sheetId="1" r:id="rId5"/>
    <sheet name="Morro do Canal" sheetId="6" r:id="rId6"/>
    <sheet name="Ibitiraquire" sheetId="10" r:id="rId7"/>
    <sheet name="Marumbi" sheetId="7" r:id="rId8"/>
    <sheet name="São Luis Purunã" sheetId="4" r:id="rId9"/>
    <sheet name="Macarrão Ponta Grossa" sheetId="8" r:id="rId10"/>
    <sheet name="Desempenhos Big 1000 e 500" sheetId="16" r:id="rId11"/>
    <sheet name="Treino fendas Anhangava" sheetId="26" r:id="rId12"/>
    <sheet name="Desafio Vias Históricas" sheetId="15" r:id="rId13"/>
  </sheets>
  <definedNames>
    <definedName name="_xlnm._FilterDatabase" localSheetId="2" hidden="1">Anhangava!$A$1:$J$177</definedName>
    <definedName name="_xlnm._FilterDatabase" localSheetId="3" hidden="1">'Boulder Anhangava'!$D$1:$D$45</definedName>
    <definedName name="_xlnm._FilterDatabase" localSheetId="4" hidden="1">'Castelinhos do Anhangava'!$D$1:$D$75</definedName>
    <definedName name="_xlnm._FilterDatabase" localSheetId="1" hidden="1">'Croquiteca Raiz 1000'!$A$1:$F$182</definedName>
    <definedName name="_xlnm._FilterDatabase" localSheetId="7" hidden="1">Marumbi!$C$1:$C$78</definedName>
    <definedName name="_xlnm._FilterDatabase" localSheetId="5" hidden="1">'Morro do Canal'!#REF!</definedName>
  </definedNames>
  <calcPr calcId="125725"/>
</workbook>
</file>

<file path=xl/calcChain.xml><?xml version="1.0" encoding="utf-8"?>
<calcChain xmlns="http://schemas.openxmlformats.org/spreadsheetml/2006/main">
  <c r="E21" i="28"/>
  <c r="E22" s="1"/>
  <c r="E23" s="1"/>
  <c r="E24" s="1"/>
  <c r="E25" s="1"/>
  <c r="E2"/>
  <c r="E3" s="1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4" i="27"/>
  <c r="E5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"/>
  <c r="E2"/>
  <c r="D59" i="6"/>
  <c r="E12" i="26" l="1"/>
  <c r="R10" i="16" l="1"/>
  <c r="S3"/>
  <c r="S4" s="1"/>
  <c r="S5" s="1"/>
  <c r="S6" s="1"/>
  <c r="S7" s="1"/>
  <c r="S8" s="1"/>
  <c r="O3" l="1"/>
  <c r="O4" s="1"/>
  <c r="O5" s="1"/>
  <c r="O6" s="1"/>
  <c r="O7" s="1"/>
  <c r="O8" s="1"/>
  <c r="N11"/>
  <c r="O9" l="1"/>
  <c r="O10" s="1"/>
  <c r="I51" i="15" l="1"/>
  <c r="G51"/>
  <c r="I33"/>
  <c r="G33"/>
  <c r="I15"/>
  <c r="G15"/>
  <c r="J27" i="16" l="1"/>
  <c r="K3" l="1"/>
  <c r="C3" l="1"/>
  <c r="C4" s="1"/>
  <c r="C5" s="1"/>
  <c r="G3" l="1"/>
  <c r="G4" s="1"/>
  <c r="G5" s="1"/>
  <c r="G6" s="1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F20" s="1"/>
  <c r="C6"/>
  <c r="C7" s="1"/>
  <c r="C8" s="1"/>
  <c r="C9" s="1"/>
  <c r="C10" s="1"/>
  <c r="C11" s="1"/>
  <c r="C12" s="1"/>
  <c r="C13" s="1"/>
  <c r="C14" s="1"/>
  <c r="C15" s="1"/>
  <c r="B16" s="1"/>
  <c r="K4" l="1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</calcChain>
</file>

<file path=xl/sharedStrings.xml><?xml version="1.0" encoding="utf-8"?>
<sst xmlns="http://schemas.openxmlformats.org/spreadsheetml/2006/main" count="2050" uniqueCount="886">
  <si>
    <t>Setor</t>
  </si>
  <si>
    <t>Bloco</t>
  </si>
  <si>
    <t>Grau</t>
  </si>
  <si>
    <t>De Cima</t>
  </si>
  <si>
    <t>Caverna</t>
  </si>
  <si>
    <t>Capeta</t>
  </si>
  <si>
    <t>Satã</t>
  </si>
  <si>
    <t>Caverna do Satã</t>
  </si>
  <si>
    <t>Caverna do Satã Extension</t>
  </si>
  <si>
    <t>Satã da Caverna</t>
  </si>
  <si>
    <t>Cavernoso</t>
  </si>
  <si>
    <t>Caverna SDS</t>
  </si>
  <si>
    <t>V2</t>
  </si>
  <si>
    <t>V4</t>
  </si>
  <si>
    <t>V5</t>
  </si>
  <si>
    <t>V7</t>
  </si>
  <si>
    <t>V8</t>
  </si>
  <si>
    <t>V6</t>
  </si>
  <si>
    <t>Piano</t>
  </si>
  <si>
    <t>Teclado</t>
  </si>
  <si>
    <t>Buraquinho do Mavi</t>
  </si>
  <si>
    <t>Piano ao contrário</t>
  </si>
  <si>
    <t>Lances fáceis</t>
  </si>
  <si>
    <t>V0</t>
  </si>
  <si>
    <t>Aresta das Meninas</t>
  </si>
  <si>
    <t>Cagacento</t>
  </si>
  <si>
    <t>Rala Punho</t>
  </si>
  <si>
    <t>Travessia Agarras grandes</t>
  </si>
  <si>
    <t>V3</t>
  </si>
  <si>
    <t>Aresta Tombada</t>
  </si>
  <si>
    <t>De Aresta para Aresta</t>
  </si>
  <si>
    <t>Cérebro</t>
  </si>
  <si>
    <t>Bracatingal</t>
  </si>
  <si>
    <t>Lance da frente</t>
  </si>
  <si>
    <t>V1</t>
  </si>
  <si>
    <t>Do Meio</t>
  </si>
  <si>
    <t>Aresta Peluda</t>
  </si>
  <si>
    <t>Torinha</t>
  </si>
  <si>
    <t>Aresta Torinha</t>
  </si>
  <si>
    <t>Os Cegos dos Castelos</t>
  </si>
  <si>
    <t>Fissuras</t>
  </si>
  <si>
    <t>Perereca Suicida</t>
  </si>
  <si>
    <t>V11</t>
  </si>
  <si>
    <t>Tetinho do Aquece</t>
  </si>
  <si>
    <t>Lance da Direita</t>
  </si>
  <si>
    <t>Lance da Esquerda</t>
  </si>
  <si>
    <t>Agarra Quebrou</t>
  </si>
  <si>
    <t>Orelhinha</t>
  </si>
  <si>
    <t>Aresta da Orelhinha</t>
  </si>
  <si>
    <t>Lance da Orelhinha</t>
  </si>
  <si>
    <t>Orelhão</t>
  </si>
  <si>
    <t>Quenti Brow</t>
  </si>
  <si>
    <t>Quenti</t>
  </si>
  <si>
    <t>Brow</t>
  </si>
  <si>
    <t>Medida</t>
  </si>
  <si>
    <t>Plano de Manejo</t>
  </si>
  <si>
    <t>De Baixo</t>
  </si>
  <si>
    <t>Resta Um</t>
  </si>
  <si>
    <t>Elevador</t>
  </si>
  <si>
    <t>Elevador do Subsolo</t>
  </si>
  <si>
    <t>Arestafari</t>
  </si>
  <si>
    <t>Arestafari SDS</t>
  </si>
  <si>
    <t>Calabouço</t>
  </si>
  <si>
    <t>Saída de Emergência</t>
  </si>
  <si>
    <t>Masmorra</t>
  </si>
  <si>
    <t>Solitária</t>
  </si>
  <si>
    <t>Atrás das Grades</t>
  </si>
  <si>
    <t>Véio</t>
  </si>
  <si>
    <t>Fenda da Princesa</t>
  </si>
  <si>
    <t>Cabeça de Tartaruga</t>
  </si>
  <si>
    <t>Samambaial</t>
  </si>
  <si>
    <t>AresteiCrowley</t>
  </si>
  <si>
    <t>Rasta Man</t>
  </si>
  <si>
    <t>Via</t>
  </si>
  <si>
    <t>Boulder</t>
  </si>
  <si>
    <t>III</t>
  </si>
  <si>
    <t>Caninana</t>
  </si>
  <si>
    <t>Principiantes</t>
  </si>
  <si>
    <t>Transversal superior</t>
  </si>
  <si>
    <t>Urutu</t>
  </si>
  <si>
    <t>Triplex</t>
  </si>
  <si>
    <t>IIIsup</t>
  </si>
  <si>
    <t>Andorinhas</t>
  </si>
  <si>
    <t>Los Três Chiflados</t>
  </si>
  <si>
    <t>Peon</t>
  </si>
  <si>
    <t>Ângela</t>
  </si>
  <si>
    <t>IV</t>
  </si>
  <si>
    <t>Chaminé do Corvo</t>
  </si>
  <si>
    <t>Deus te Chama</t>
  </si>
  <si>
    <t>Diedro Maior</t>
  </si>
  <si>
    <t>Imposto de renda</t>
  </si>
  <si>
    <t>Levi's</t>
  </si>
  <si>
    <t>Mônica</t>
  </si>
  <si>
    <t>Sol de Verão</t>
  </si>
  <si>
    <t>Valeu</t>
  </si>
  <si>
    <t>V</t>
  </si>
  <si>
    <t>IVsup</t>
  </si>
  <si>
    <t>Aracaju</t>
  </si>
  <si>
    <t>Curitiba</t>
  </si>
  <si>
    <t>Salvador</t>
  </si>
  <si>
    <t>Maria fumaça</t>
  </si>
  <si>
    <t>Variante Maria fumaça</t>
  </si>
  <si>
    <t>20 m</t>
  </si>
  <si>
    <t>Altura</t>
  </si>
  <si>
    <t>30 m</t>
  </si>
  <si>
    <t>35 m</t>
  </si>
  <si>
    <t>Cunha</t>
  </si>
  <si>
    <t>Lance L2</t>
  </si>
  <si>
    <t>Lance L1</t>
  </si>
  <si>
    <t>José Peon</t>
  </si>
  <si>
    <t>Aderência</t>
  </si>
  <si>
    <t>Lance 6</t>
  </si>
  <si>
    <t>Incas</t>
  </si>
  <si>
    <t>Boulder da Direita</t>
  </si>
  <si>
    <t>Fissura do Bêbado</t>
  </si>
  <si>
    <t>Lance 4</t>
  </si>
  <si>
    <t>Cerveja</t>
  </si>
  <si>
    <t>Não é a Mamãe</t>
  </si>
  <si>
    <t>Lance Caracu</t>
  </si>
  <si>
    <t>Lance da Descida</t>
  </si>
  <si>
    <t>Lance Skol</t>
  </si>
  <si>
    <t>6° com as Mãos</t>
  </si>
  <si>
    <t>Vsup</t>
  </si>
  <si>
    <t>Lance 5</t>
  </si>
  <si>
    <t>Lance Kaiser</t>
  </si>
  <si>
    <t>Lance Mazebier</t>
  </si>
  <si>
    <t>VI</t>
  </si>
  <si>
    <t>Aresta da Cunha</t>
  </si>
  <si>
    <t>Bostão</t>
  </si>
  <si>
    <t>Lance 7</t>
  </si>
  <si>
    <t>Lance Brahma</t>
  </si>
  <si>
    <t>Lance da Laquinha</t>
  </si>
  <si>
    <t>Lance do Negativo</t>
  </si>
  <si>
    <t>Lance da Aresta</t>
  </si>
  <si>
    <t>Teto do Mocó</t>
  </si>
  <si>
    <t>VIsup</t>
  </si>
  <si>
    <t>Deus te chama</t>
  </si>
  <si>
    <t>Coca-cola da Direita</t>
  </si>
  <si>
    <t>Coca-cola da Esquerda</t>
  </si>
  <si>
    <t>Fissura das panelas</t>
  </si>
  <si>
    <t>Lance do Ó</t>
  </si>
  <si>
    <t>Lance Schincariol</t>
  </si>
  <si>
    <t>Raízes</t>
  </si>
  <si>
    <t>Boulder das Raízes</t>
  </si>
  <si>
    <t>Lance do Bote</t>
  </si>
  <si>
    <t>Lance Keep Coller</t>
  </si>
  <si>
    <t>Lance do Cupim</t>
  </si>
  <si>
    <t>Variante à direita</t>
  </si>
  <si>
    <t>Variante à esquerda</t>
  </si>
  <si>
    <t>Lance Antartica</t>
  </si>
  <si>
    <t>Lance do Alicate</t>
  </si>
  <si>
    <t>Lance 2°</t>
  </si>
  <si>
    <t>Prestobarba</t>
  </si>
  <si>
    <t>Vaca Profana</t>
  </si>
  <si>
    <t>Escoteiros</t>
  </si>
  <si>
    <t>Fritas</t>
  </si>
  <si>
    <t>Hamburguer</t>
  </si>
  <si>
    <t>Aqui Tem Cuque</t>
  </si>
  <si>
    <t>Movimento Sob Pressão</t>
  </si>
  <si>
    <t>Paranóide</t>
  </si>
  <si>
    <t>Pura Ilusão</t>
  </si>
  <si>
    <t>7c</t>
  </si>
  <si>
    <t>7b</t>
  </si>
  <si>
    <t>7a</t>
  </si>
  <si>
    <t>10a</t>
  </si>
  <si>
    <t>8c</t>
  </si>
  <si>
    <t>Desilusão</t>
  </si>
  <si>
    <t>Ilusão de Ótica</t>
  </si>
  <si>
    <t>Caiu o Grampo</t>
  </si>
  <si>
    <t>Mato Psicodélico</t>
  </si>
  <si>
    <t>Pink Floyd</t>
  </si>
  <si>
    <t>Batismo Brocado</t>
  </si>
  <si>
    <t>Sangue</t>
  </si>
  <si>
    <t>Território Inimigo</t>
  </si>
  <si>
    <t>Pimentinha</t>
  </si>
  <si>
    <t>Xavasca</t>
  </si>
  <si>
    <t>Chuva de Verão</t>
  </si>
  <si>
    <t>Braço de Moça</t>
  </si>
  <si>
    <t>Boluda</t>
  </si>
  <si>
    <t>Tome Leite</t>
  </si>
  <si>
    <t>Rainha do Abismo</t>
  </si>
  <si>
    <t>Bocó</t>
  </si>
  <si>
    <t>Quebra Nozes</t>
  </si>
  <si>
    <t>9a</t>
  </si>
  <si>
    <t>6b</t>
  </si>
  <si>
    <t>6a</t>
  </si>
  <si>
    <t>8b</t>
  </si>
  <si>
    <t>8a</t>
  </si>
  <si>
    <t>6c</t>
  </si>
  <si>
    <t>Jumping Jack</t>
  </si>
  <si>
    <t>Pensamento Negativo</t>
  </si>
  <si>
    <t>Galileu Skywalker</t>
  </si>
  <si>
    <t>Bicho Triste</t>
  </si>
  <si>
    <t>Bicho Grilo</t>
  </si>
  <si>
    <t>Bicho Papão</t>
  </si>
  <si>
    <t>Abutres</t>
  </si>
  <si>
    <t>Nação Zumbi</t>
  </si>
  <si>
    <t>Chico Science</t>
  </si>
  <si>
    <t>Malango</t>
  </si>
  <si>
    <t>9b</t>
  </si>
  <si>
    <t>Caratuva</t>
  </si>
  <si>
    <t>Bandeirantes</t>
  </si>
  <si>
    <t>?</t>
  </si>
  <si>
    <t>Sai de Baixo</t>
  </si>
  <si>
    <t>Medida Compensatória SDS</t>
  </si>
  <si>
    <t>IV sup</t>
  </si>
  <si>
    <t>V sup</t>
  </si>
  <si>
    <t>VI sup</t>
  </si>
  <si>
    <t>M&amp;M's</t>
  </si>
  <si>
    <t>Super aderência</t>
  </si>
  <si>
    <t>Chaminé do Solo</t>
  </si>
  <si>
    <t>Atrás da Puta</t>
  </si>
  <si>
    <t>Fábulas e Tragédias</t>
  </si>
  <si>
    <t>Fenda 10 encantos</t>
  </si>
  <si>
    <t>Guarda Costas</t>
  </si>
  <si>
    <t>Neruda</t>
  </si>
  <si>
    <t>Toca do Tatu</t>
  </si>
  <si>
    <t>Via da Barbatana</t>
  </si>
  <si>
    <t>Frankenstein</t>
  </si>
  <si>
    <t>Pirilampo Espacial</t>
  </si>
  <si>
    <t>Procurando Chifre em Cabeça de Cavalo</t>
  </si>
  <si>
    <t>Segura Senão Cai!</t>
  </si>
  <si>
    <t>Canalbis</t>
  </si>
  <si>
    <t>Cuíca</t>
  </si>
  <si>
    <t>Diedro D2</t>
  </si>
  <si>
    <t>Fenda do Limbo</t>
  </si>
  <si>
    <t>Perseguida</t>
  </si>
  <si>
    <t>Vento do Litoral</t>
  </si>
  <si>
    <t>9 de Março</t>
  </si>
  <si>
    <t>Big Bro de Pobre</t>
  </si>
  <si>
    <t>Depilada</t>
  </si>
  <si>
    <t>Nenê</t>
  </si>
  <si>
    <t>Nostalgia</t>
  </si>
  <si>
    <t>Buracos para o Espaço</t>
  </si>
  <si>
    <t>VIIa</t>
  </si>
  <si>
    <t>VIIb</t>
  </si>
  <si>
    <t>VIIc</t>
  </si>
  <si>
    <t>Puta Disfarçada</t>
  </si>
  <si>
    <t>Solitário</t>
  </si>
  <si>
    <t>Soterrados</t>
  </si>
  <si>
    <t>Viaduto</t>
  </si>
  <si>
    <t>Bienal</t>
  </si>
  <si>
    <t>Cagada Feita</t>
  </si>
  <si>
    <t>Canal Vaginal</t>
  </si>
  <si>
    <t>Filosofia do Mate</t>
  </si>
  <si>
    <t>Rei do Abismo</t>
  </si>
  <si>
    <t>Variante da Cagada Feita pela Esquerda</t>
  </si>
  <si>
    <t>Cachorro Loko</t>
  </si>
  <si>
    <t>Diedro do Conquistador</t>
  </si>
  <si>
    <t>Heaven &amp; Hell</t>
  </si>
  <si>
    <t>Walden</t>
  </si>
  <si>
    <t>VIIIa</t>
  </si>
  <si>
    <t>VIIIb</t>
  </si>
  <si>
    <t>VIIIc</t>
  </si>
  <si>
    <t>IXa</t>
  </si>
  <si>
    <t>IXb</t>
  </si>
  <si>
    <t>Xa</t>
  </si>
  <si>
    <t>Daí não Cai</t>
  </si>
  <si>
    <t>Viagem ao Desconhecido</t>
  </si>
  <si>
    <t>Entroposfera</t>
  </si>
  <si>
    <t>Saudosa Pedriza</t>
  </si>
  <si>
    <t>Vento Ventania</t>
  </si>
  <si>
    <t>Tratamento de Canal</t>
  </si>
  <si>
    <t>Seu Zezinho</t>
  </si>
  <si>
    <t>Corpo Fechado</t>
  </si>
  <si>
    <t>Variante Rogê</t>
  </si>
  <si>
    <t>Aresta do Ratão</t>
  </si>
  <si>
    <t>Via da Marreta</t>
  </si>
  <si>
    <t>1° de Março</t>
  </si>
  <si>
    <t>Top Rope</t>
  </si>
  <si>
    <t>Inspiranela</t>
  </si>
  <si>
    <t>Graduação</t>
  </si>
  <si>
    <t>IV M1</t>
  </si>
  <si>
    <t>IV E2 M1</t>
  </si>
  <si>
    <t>IV E4</t>
  </si>
  <si>
    <t>Secreta</t>
  </si>
  <si>
    <t>Passagem Oeste</t>
  </si>
  <si>
    <t>150 m</t>
  </si>
  <si>
    <t>80 m</t>
  </si>
  <si>
    <t>160 m</t>
  </si>
  <si>
    <t>Ogrão</t>
  </si>
  <si>
    <t>Chaminé Estopida</t>
  </si>
  <si>
    <t>Cachoeira Seca</t>
  </si>
  <si>
    <t>Pai Tacanha</t>
  </si>
  <si>
    <t>Fissura do Arame</t>
  </si>
  <si>
    <t>Chaminé do Gavião</t>
  </si>
  <si>
    <t>Enferrujado</t>
  </si>
  <si>
    <t>Fenda 1</t>
  </si>
  <si>
    <t>Chaminé Centenário</t>
  </si>
  <si>
    <t>Fenda Y</t>
  </si>
  <si>
    <t>Paredão Norte</t>
  </si>
  <si>
    <t>Brincos de Quefrén</t>
  </si>
  <si>
    <t>Janela para o Céu</t>
  </si>
  <si>
    <t>Oeste Total</t>
  </si>
  <si>
    <t>Fenda Principal</t>
  </si>
  <si>
    <t>Fenda 2</t>
  </si>
  <si>
    <t>Poço dos Desejos</t>
  </si>
  <si>
    <t>Raio que o Parta</t>
  </si>
  <si>
    <t>Quinquecentenário</t>
  </si>
  <si>
    <t>Vinde aos Montes as Criancinhas</t>
  </si>
  <si>
    <t>Vaca Preta</t>
  </si>
  <si>
    <t>Ogrinho</t>
  </si>
  <si>
    <t>Viagem a Ixtian</t>
  </si>
  <si>
    <t>Fenda Zero</t>
  </si>
  <si>
    <t>Maria Buana</t>
  </si>
  <si>
    <t>Brumas do Valão</t>
  </si>
  <si>
    <t>Sabor de Remédio</t>
  </si>
  <si>
    <t>PT Saudações</t>
  </si>
  <si>
    <t>Meninos Perdidos</t>
  </si>
  <si>
    <t>Caroço</t>
  </si>
  <si>
    <t>Segredo da Gibóia</t>
  </si>
  <si>
    <t>Capa do Conde Drácula</t>
  </si>
  <si>
    <t>Variante Cataflan</t>
  </si>
  <si>
    <t>Sina do Sino</t>
  </si>
  <si>
    <t>Pavor do Paraíso</t>
  </si>
  <si>
    <t>Fissura da Meia Lua</t>
  </si>
  <si>
    <t>Cristal Negro</t>
  </si>
  <si>
    <t>Tritongo</t>
  </si>
  <si>
    <t>Última terra de Malboro</t>
  </si>
  <si>
    <t>Homem Jaca</t>
  </si>
  <si>
    <t>Megera</t>
  </si>
  <si>
    <t>Veia do Pescoço</t>
  </si>
  <si>
    <t>Gogó dos Prazeres</t>
  </si>
  <si>
    <t>Raízes Profundas</t>
  </si>
  <si>
    <t>Desfiladeiro da Catedral</t>
  </si>
  <si>
    <t>Sabedoria e Moderação</t>
  </si>
  <si>
    <t>As Esfinges Também Choram</t>
  </si>
  <si>
    <t>Roberbela</t>
  </si>
  <si>
    <t>Terra do Nunca</t>
  </si>
  <si>
    <t>Flutuar da Prexeca</t>
  </si>
  <si>
    <t>500 Rupias</t>
  </si>
  <si>
    <t>Sem Chorumelas</t>
  </si>
  <si>
    <t>Alusinos</t>
  </si>
  <si>
    <t>Mistério Oculto</t>
  </si>
  <si>
    <t>Vinde a Mim os Cristaizinhos</t>
  </si>
  <si>
    <t>Chapão</t>
  </si>
  <si>
    <t>Incandescente</t>
  </si>
  <si>
    <t>Monstro Mau</t>
  </si>
  <si>
    <t>Ilusionista</t>
  </si>
  <si>
    <t>Ilusão de Ética</t>
  </si>
  <si>
    <t>Fogo Interior</t>
  </si>
  <si>
    <t>Jardins Suspensos</t>
  </si>
  <si>
    <t>Murruga da Embaúba</t>
  </si>
  <si>
    <t>Gritos do Silêncio</t>
  </si>
  <si>
    <t>Los Encardidos</t>
  </si>
  <si>
    <t>Omelete de Urubu</t>
  </si>
  <si>
    <t>Levitar do Bimbo</t>
  </si>
  <si>
    <t>Sinos da Torre</t>
  </si>
  <si>
    <t>Chegachora</t>
  </si>
  <si>
    <t>Gandolfo</t>
  </si>
  <si>
    <t>70 m</t>
  </si>
  <si>
    <t>25 m</t>
  </si>
  <si>
    <t>V A0</t>
  </si>
  <si>
    <t>V E4</t>
  </si>
  <si>
    <t>V E3 M1</t>
  </si>
  <si>
    <t>V E3</t>
  </si>
  <si>
    <t>V A0 E1</t>
  </si>
  <si>
    <t>125 m</t>
  </si>
  <si>
    <t>100 m</t>
  </si>
  <si>
    <t>250 m</t>
  </si>
  <si>
    <t>V A0 E4 M2</t>
  </si>
  <si>
    <t>230 m</t>
  </si>
  <si>
    <t>Vsup A0 E4 M1</t>
  </si>
  <si>
    <t>Vsup A0 E3 M2</t>
  </si>
  <si>
    <t>180 m</t>
  </si>
  <si>
    <t>Vsup A3 E3</t>
  </si>
  <si>
    <t>VI E2</t>
  </si>
  <si>
    <t>VI E3 M2</t>
  </si>
  <si>
    <t>85 m</t>
  </si>
  <si>
    <t>VI E3</t>
  </si>
  <si>
    <t>200 m</t>
  </si>
  <si>
    <t>VI A0 E4 M2</t>
  </si>
  <si>
    <t>170 m</t>
  </si>
  <si>
    <t>VI A1 (VIIa A1) E3 M1</t>
  </si>
  <si>
    <t>140 m</t>
  </si>
  <si>
    <t>VI A2 E3</t>
  </si>
  <si>
    <t>130 m</t>
  </si>
  <si>
    <t>335 m</t>
  </si>
  <si>
    <t>VI A2 E3 M2</t>
  </si>
  <si>
    <t>45 m</t>
  </si>
  <si>
    <t>120 m</t>
  </si>
  <si>
    <t>50 m</t>
  </si>
  <si>
    <t>60 m</t>
  </si>
  <si>
    <t>280 m</t>
  </si>
  <si>
    <t>350 m</t>
  </si>
  <si>
    <t>40 m</t>
  </si>
  <si>
    <t>18 m</t>
  </si>
  <si>
    <t>210 m</t>
  </si>
  <si>
    <t>75 m</t>
  </si>
  <si>
    <t>90 m</t>
  </si>
  <si>
    <t>430 m</t>
  </si>
  <si>
    <t>300 m</t>
  </si>
  <si>
    <t>VIsup E1</t>
  </si>
  <si>
    <t>VIsup A2 E3</t>
  </si>
  <si>
    <t xml:space="preserve">VIsup </t>
  </si>
  <si>
    <t>VIsup E3</t>
  </si>
  <si>
    <t>VIsup E2</t>
  </si>
  <si>
    <t>VIsup E4</t>
  </si>
  <si>
    <t>VIsup A0 (VIIIa A1) E3 M2</t>
  </si>
  <si>
    <t>VIsup A2 E3 M1</t>
  </si>
  <si>
    <t>VIsup A1 E3</t>
  </si>
  <si>
    <t>VIsup A2+ E3 M2</t>
  </si>
  <si>
    <t>VIsup A3 E5 M3</t>
  </si>
  <si>
    <t xml:space="preserve">VIIa </t>
  </si>
  <si>
    <t>VIIa E1</t>
  </si>
  <si>
    <t>VIIa E4 M2</t>
  </si>
  <si>
    <t>VIIa A1 (VIIIa A0) E3 M2</t>
  </si>
  <si>
    <t>VIIa E3</t>
  </si>
  <si>
    <t xml:space="preserve">VIIb </t>
  </si>
  <si>
    <t>VIIb E2</t>
  </si>
  <si>
    <t>VIIb E3</t>
  </si>
  <si>
    <t>VIIb A0 E3</t>
  </si>
  <si>
    <t>VIIc E3</t>
  </si>
  <si>
    <t>VIIc A0 E3 M1</t>
  </si>
  <si>
    <t>VIIc (VIIIa A1+) E3 M1</t>
  </si>
  <si>
    <t>VIIc A0 E3</t>
  </si>
  <si>
    <t>VIIc A3 E3 M2</t>
  </si>
  <si>
    <t>VIIIa (VIIIc A0) E2</t>
  </si>
  <si>
    <t>VIIIa E3</t>
  </si>
  <si>
    <t>VIIIa E1</t>
  </si>
  <si>
    <t>VIIIa A3 E3</t>
  </si>
  <si>
    <t>VIIIa A0 E3</t>
  </si>
  <si>
    <t>VIIIa A2 E3</t>
  </si>
  <si>
    <t>VIIIa A0 E3 M1</t>
  </si>
  <si>
    <t>VIIIb A2 E3</t>
  </si>
  <si>
    <t>VIIIb E3</t>
  </si>
  <si>
    <t>VIIIb (VIIIc A1) E3 M1</t>
  </si>
  <si>
    <t>VIIIc A1 E3</t>
  </si>
  <si>
    <t>VIIIc A0 E3</t>
  </si>
  <si>
    <t>Abrolhos - Parque do Lineu</t>
  </si>
  <si>
    <t>Ponta do Tigre - Face Norte</t>
  </si>
  <si>
    <t>Abrolhos - Face Oeste</t>
  </si>
  <si>
    <t>Pedra da Cunha</t>
  </si>
  <si>
    <t>GuiaBoulder</t>
  </si>
  <si>
    <t>Planet Hemp</t>
  </si>
  <si>
    <t>Pedra da Vagina</t>
  </si>
  <si>
    <t>Pirilampo</t>
  </si>
  <si>
    <t>Dez-Encantos</t>
  </si>
  <si>
    <t>Cume</t>
  </si>
  <si>
    <t>Torre amarela</t>
  </si>
  <si>
    <t>Ponta do Tigre - Face leste</t>
  </si>
  <si>
    <t>Abrolhos - Primeiro Degrau</t>
  </si>
  <si>
    <t>Esfinge - Face norte</t>
  </si>
  <si>
    <t>Torre dos Sinos - Face norte</t>
  </si>
  <si>
    <t>Olimpo - Face norte</t>
  </si>
  <si>
    <t>Abrolhos - Paredão Preto</t>
  </si>
  <si>
    <t>Gigante - Face leste</t>
  </si>
  <si>
    <t>Abrolhos - Segundo degrau</t>
  </si>
  <si>
    <t>Torre dos Sinos - Face leste</t>
  </si>
  <si>
    <t>Gigante - Face oeste</t>
  </si>
  <si>
    <t>Esfinge - Face leste</t>
  </si>
  <si>
    <t>Gigante - Crista do Gigante</t>
  </si>
  <si>
    <t>Abrolhos - Face oeste</t>
  </si>
  <si>
    <t>Abrolhos / Torre dos Sinos</t>
  </si>
  <si>
    <t>Esfinge - Face oeste</t>
  </si>
  <si>
    <t>SETOR I</t>
  </si>
  <si>
    <t>SETOR II</t>
  </si>
  <si>
    <t>Bicho Preguiça</t>
  </si>
  <si>
    <t>5sup</t>
  </si>
  <si>
    <t>Jimmy Hendrix</t>
  </si>
  <si>
    <t>Jataí</t>
  </si>
  <si>
    <t>Quebra queixo</t>
  </si>
  <si>
    <t>Agora Já Era</t>
  </si>
  <si>
    <t>Por Via das Dúvidas</t>
  </si>
  <si>
    <t>Dorminhoco</t>
  </si>
  <si>
    <t>Surfista Prateado</t>
  </si>
  <si>
    <t>Via do Totem</t>
  </si>
  <si>
    <t>Virada do Sol</t>
  </si>
  <si>
    <t>Roubo do Piton</t>
  </si>
  <si>
    <t>Cleptomania</t>
  </si>
  <si>
    <t>Distúrbio Bipolar</t>
  </si>
  <si>
    <t>Escoliose</t>
  </si>
  <si>
    <t>Pressão Alta</t>
  </si>
  <si>
    <t>H1N1</t>
  </si>
  <si>
    <t>Luar do Sertão</t>
  </si>
  <si>
    <t>Rancho Fundo</t>
  </si>
  <si>
    <t>Vida Marvada</t>
  </si>
  <si>
    <t>Interiores</t>
  </si>
  <si>
    <t>Rapaz Caipira</t>
  </si>
  <si>
    <t>Pedrero das Arturas</t>
  </si>
  <si>
    <t>Perca da Porca</t>
  </si>
  <si>
    <t>Boi Bandido</t>
  </si>
  <si>
    <t>Arre Égua</t>
  </si>
  <si>
    <t>Moça Formosa</t>
  </si>
  <si>
    <t>Encardidinha</t>
  </si>
  <si>
    <t>Hidrocarboneto</t>
  </si>
  <si>
    <t>Reaproveitável</t>
  </si>
  <si>
    <t>Reciclavel</t>
  </si>
  <si>
    <t>Retornável</t>
  </si>
  <si>
    <t>"S" de Sufoco</t>
  </si>
  <si>
    <t>Estufa I</t>
  </si>
  <si>
    <t>Total Flex</t>
  </si>
  <si>
    <t>Metamorfose zen</t>
  </si>
  <si>
    <t>Captura de Carbono</t>
  </si>
  <si>
    <t>Chuva Ácida</t>
  </si>
  <si>
    <t>Efeito Estufa</t>
  </si>
  <si>
    <t>Via da Raposa</t>
  </si>
  <si>
    <t>Estufa II</t>
  </si>
  <si>
    <t>Que me Importa</t>
  </si>
  <si>
    <t>Dona</t>
  </si>
  <si>
    <t>Peçonhenta</t>
  </si>
  <si>
    <t>Fogareu</t>
  </si>
  <si>
    <t>Caratuva em chamas</t>
  </si>
  <si>
    <t>Dedos Flamejantes</t>
  </si>
  <si>
    <t>Fumaça e Cinzas</t>
  </si>
  <si>
    <t>A chegada da Zizi Pin</t>
  </si>
  <si>
    <t>220 m</t>
  </si>
  <si>
    <t>VI (VIsup)</t>
  </si>
  <si>
    <t>10 Costuras</t>
  </si>
  <si>
    <t>Material</t>
  </si>
  <si>
    <t>10 Costuras longas</t>
  </si>
  <si>
    <t>8 Costuras longas</t>
  </si>
  <si>
    <t>14 Costuras</t>
  </si>
  <si>
    <t>7 Costuras</t>
  </si>
  <si>
    <t>13 Costuras</t>
  </si>
  <si>
    <t>9 Costuras</t>
  </si>
  <si>
    <t>12 Costuras</t>
  </si>
  <si>
    <t>Solo livre</t>
  </si>
  <si>
    <t>Azaléa (Solange)</t>
  </si>
  <si>
    <t>Ugabaluga</t>
  </si>
  <si>
    <t>Capitais</t>
  </si>
  <si>
    <t>R. S.</t>
  </si>
  <si>
    <t>Professor</t>
  </si>
  <si>
    <t>Belo Horizonte</t>
  </si>
  <si>
    <t>Cascavel</t>
  </si>
  <si>
    <t>Diedro de Eros</t>
  </si>
  <si>
    <t>Essa Aqui</t>
  </si>
  <si>
    <t>Fissura da Miséria</t>
  </si>
  <si>
    <t>Fissura de Mão da Caverna</t>
  </si>
  <si>
    <t>Fissura do Chiquinho</t>
  </si>
  <si>
    <t>Formigas de Satã</t>
  </si>
  <si>
    <t>Indigo Blue</t>
  </si>
  <si>
    <t>Jararaca</t>
  </si>
  <si>
    <t>Lance NO1</t>
  </si>
  <si>
    <t>Lance NO2</t>
  </si>
  <si>
    <t>Martírio Chinês</t>
  </si>
  <si>
    <t>Mocréia Pêluda</t>
  </si>
  <si>
    <t>Mônica Total</t>
  </si>
  <si>
    <t>Preto no Branco</t>
  </si>
  <si>
    <t>Top Rope Abaixo da Cagaço</t>
  </si>
  <si>
    <t>Transversal 6º</t>
  </si>
  <si>
    <t>Variante Transversal</t>
  </si>
  <si>
    <t>Variante Los Três Amigos</t>
  </si>
  <si>
    <t>Vento Ventania - Início Pirilampo</t>
  </si>
  <si>
    <t>Sétimo Dia</t>
  </si>
  <si>
    <t>Aramis</t>
  </si>
  <si>
    <t>Eu sou a Verdadeira Mari Poppins</t>
  </si>
  <si>
    <t>Portal do Sol</t>
  </si>
  <si>
    <t>Variante Solitária</t>
  </si>
  <si>
    <t>Via da Esquerda</t>
  </si>
  <si>
    <t>Via Rápida ou Bico de Pedra</t>
  </si>
  <si>
    <t>Baleia</t>
  </si>
  <si>
    <t>Cocô de Puta (Azul e Laranja)</t>
  </si>
  <si>
    <t>Fiasco</t>
  </si>
  <si>
    <t>A Bunda</t>
  </si>
  <si>
    <t>Aresta Esquerda</t>
  </si>
  <si>
    <t>Madame Satã</t>
  </si>
  <si>
    <t>Mulher Vagalume</t>
  </si>
  <si>
    <t>Chapeletas Mais à Direita Ainda</t>
  </si>
  <si>
    <t>Parece Mais Não É</t>
  </si>
  <si>
    <t>Porca Miséria</t>
  </si>
  <si>
    <t>Porthos</t>
  </si>
  <si>
    <t>Saída Reta</t>
  </si>
  <si>
    <t>Vadias 2</t>
  </si>
  <si>
    <t>Via da Direita</t>
  </si>
  <si>
    <t>Via do Dubois</t>
  </si>
  <si>
    <t>Variante Diedro Maior p/ Jô</t>
  </si>
  <si>
    <t>Caverninhas</t>
  </si>
  <si>
    <t>Aresta de Eros</t>
  </si>
  <si>
    <t>Aresta Direita</t>
  </si>
  <si>
    <t>Aresta Pelada</t>
  </si>
  <si>
    <t>Branco no Preto</t>
  </si>
  <si>
    <t>Drangolesa</t>
  </si>
  <si>
    <t>Fenda do Urubu</t>
  </si>
  <si>
    <t>Guialá</t>
  </si>
  <si>
    <t>Lance 14</t>
  </si>
  <si>
    <t>Lance 15</t>
  </si>
  <si>
    <t>Lance 16</t>
  </si>
  <si>
    <t>Lee</t>
  </si>
  <si>
    <t>Othos</t>
  </si>
  <si>
    <t>Quengas</t>
  </si>
  <si>
    <t>Vadias 1</t>
  </si>
  <si>
    <t>Vespeiro</t>
  </si>
  <si>
    <t>Via do Meio</t>
  </si>
  <si>
    <t>Via do Teto Direita</t>
  </si>
  <si>
    <t>Via normal</t>
  </si>
  <si>
    <t>Via Reta</t>
  </si>
  <si>
    <t>A Bunda Variante</t>
  </si>
  <si>
    <t>Dança das Borboletas</t>
  </si>
  <si>
    <t>Espasmo de Anta</t>
  </si>
  <si>
    <t>Fissura do Americano</t>
  </si>
  <si>
    <t>Lance N1</t>
  </si>
  <si>
    <t>Lance N2</t>
  </si>
  <si>
    <t>Laranja Mecânica</t>
  </si>
  <si>
    <t>Parafernália do Anti-Ego</t>
  </si>
  <si>
    <t>Tudo que o Godoffe Queria</t>
  </si>
  <si>
    <t>Aresta da Bunda</t>
  </si>
  <si>
    <t>Batcaverna</t>
  </si>
  <si>
    <t>Capitão Caverna</t>
  </si>
  <si>
    <t>Código de Ética</t>
  </si>
  <si>
    <t>Doce Ilusão</t>
  </si>
  <si>
    <t>Georgina Radical</t>
  </si>
  <si>
    <t>Guiaqui</t>
  </si>
  <si>
    <t>Jô Casta</t>
  </si>
  <si>
    <t>Lance á Direita</t>
  </si>
  <si>
    <t>Major Caverna</t>
  </si>
  <si>
    <t>Praga de Mãe</t>
  </si>
  <si>
    <t>R.S. (Rudolf Stamm)</t>
  </si>
  <si>
    <t>Rolling Stones</t>
  </si>
  <si>
    <t>Senhores da Verdade</t>
  </si>
  <si>
    <t>Transversal Baixa</t>
  </si>
  <si>
    <t>Via da Aresta</t>
  </si>
  <si>
    <t>Via do Teto</t>
  </si>
  <si>
    <t>Pupipupi</t>
  </si>
  <si>
    <t>Bidú</t>
  </si>
  <si>
    <t>Andorinhas Total</t>
  </si>
  <si>
    <t>Aresta do Sol</t>
  </si>
  <si>
    <t>Sete Quedas</t>
  </si>
  <si>
    <t>Staroup</t>
  </si>
  <si>
    <t>Tacoscusco nos Molusco</t>
  </si>
  <si>
    <t>Teto do Bidú</t>
  </si>
  <si>
    <t>Urinol</t>
  </si>
  <si>
    <t>Cutusco nos Molusco</t>
  </si>
  <si>
    <t>Dietrotal</t>
  </si>
  <si>
    <t>Inimigo Público</t>
  </si>
  <si>
    <t>Paranóico</t>
  </si>
  <si>
    <t>Tudo que o Gullich Queria</t>
  </si>
  <si>
    <t>Vinde a Mim o Topting</t>
  </si>
  <si>
    <t>Nostradamus</t>
  </si>
  <si>
    <t>Terceiro Milênio</t>
  </si>
  <si>
    <t>Dragão Refogado</t>
  </si>
  <si>
    <t>FRENTE</t>
  </si>
  <si>
    <t>FUNDOS</t>
  </si>
  <si>
    <t>Explode que é Bom</t>
  </si>
  <si>
    <t>Arregado no Meio</t>
  </si>
  <si>
    <t>Periferia</t>
  </si>
  <si>
    <t>Mantecol</t>
  </si>
  <si>
    <t>Granitinho Carijó</t>
  </si>
  <si>
    <t>Até o Diabo Sua</t>
  </si>
  <si>
    <t>El Corazon</t>
  </si>
  <si>
    <t>Além do Alcançe</t>
  </si>
  <si>
    <t>La Concha</t>
  </si>
  <si>
    <t>Pena de Onça</t>
  </si>
  <si>
    <t>Mangopera</t>
  </si>
  <si>
    <t>Oque é Que a Baiana Tem</t>
  </si>
  <si>
    <t>6sup</t>
  </si>
  <si>
    <t>Degemê</t>
  </si>
  <si>
    <t>Friera Petzl</t>
  </si>
  <si>
    <t>Gato Muerto</t>
  </si>
  <si>
    <t>Afinando e Juda</t>
  </si>
  <si>
    <t>Congo Melon</t>
  </si>
  <si>
    <t>Homem Primata</t>
  </si>
  <si>
    <t>Sopita de Camaron</t>
  </si>
  <si>
    <t>Caçador de Sonhos</t>
  </si>
  <si>
    <t>Sonho Consumido</t>
  </si>
  <si>
    <t>Ritmo Terminal</t>
  </si>
  <si>
    <t>Sonho de Consumo</t>
  </si>
  <si>
    <t>Fenda da Tereza</t>
  </si>
  <si>
    <t>Burlando a Lei</t>
  </si>
  <si>
    <t>Valente Dan</t>
  </si>
  <si>
    <t>Vaca Loca</t>
  </si>
  <si>
    <t>Invasão Alheia</t>
  </si>
  <si>
    <t>Acidente na Pista</t>
  </si>
  <si>
    <t>Macarrone</t>
  </si>
  <si>
    <t>8b/c</t>
  </si>
  <si>
    <t>10a/b</t>
  </si>
  <si>
    <t>O que os Olhos não Vêem os Dedos não Semtem</t>
  </si>
  <si>
    <t>Cata Pinhão</t>
  </si>
  <si>
    <t>Tensão Abdominal</t>
  </si>
  <si>
    <t>Um Passo pro Dendê</t>
  </si>
  <si>
    <t>As Lacas Também Voam</t>
  </si>
  <si>
    <t>Espirra Veneno</t>
  </si>
  <si>
    <t>Olho Grande</t>
  </si>
  <si>
    <t>Tem Marimbondo no Meu Pé</t>
  </si>
  <si>
    <t>O Perigo Mora ao Lado</t>
  </si>
  <si>
    <t>Uma Gota de Coragem</t>
  </si>
  <si>
    <t>O Último Suspiro</t>
  </si>
  <si>
    <t>Cheque-Mate</t>
  </si>
  <si>
    <t>La Dolce Vita</t>
  </si>
  <si>
    <t>Paranóia Delirante</t>
  </si>
  <si>
    <t>Pepinos Clandestinos</t>
  </si>
  <si>
    <t>Borboletas</t>
  </si>
  <si>
    <t>Cobra na Cabeça</t>
  </si>
  <si>
    <t>Montanha</t>
  </si>
  <si>
    <t>Mar de Caratuvas</t>
  </si>
  <si>
    <t>550 m</t>
  </si>
  <si>
    <t>Ibitirati</t>
  </si>
  <si>
    <t>5° Vsup E4</t>
  </si>
  <si>
    <t>3 Chapas</t>
  </si>
  <si>
    <t>Musgos Eternos nas Mentes Delirantes</t>
  </si>
  <si>
    <t>Toca Toca o Pau na Mula</t>
  </si>
  <si>
    <t>Ecoxiitas</t>
  </si>
  <si>
    <t>Infarto Neurológico</t>
  </si>
  <si>
    <t>Deus e o Diabo</t>
  </si>
  <si>
    <t>500 m</t>
  </si>
  <si>
    <t>Ferraria</t>
  </si>
  <si>
    <t>6° VIIc (A1) E3</t>
  </si>
  <si>
    <t>7° A2 E3</t>
  </si>
  <si>
    <t>6° VIsup A2 E4</t>
  </si>
  <si>
    <t>6° VISup (A1/7b) E3/4</t>
  </si>
  <si>
    <t>???</t>
  </si>
  <si>
    <t>Quarto Mundo</t>
  </si>
  <si>
    <t>Escondido</t>
  </si>
  <si>
    <t>Melhor Deixe</t>
  </si>
  <si>
    <t>V10</t>
  </si>
  <si>
    <t>Melhor Deixe com Certeza</t>
  </si>
  <si>
    <t>Futurista</t>
  </si>
  <si>
    <t>Excalibur</t>
  </si>
  <si>
    <t>Vassalo</t>
  </si>
  <si>
    <t>Rabo de Bugio</t>
  </si>
  <si>
    <t>Lenhador</t>
  </si>
  <si>
    <t>Meia Lua</t>
  </si>
  <si>
    <t>Brilho Oculto</t>
  </si>
  <si>
    <t>Brilho do Breu</t>
  </si>
  <si>
    <t>Aresta do Brilho</t>
  </si>
  <si>
    <t>Kiwi</t>
  </si>
  <si>
    <t>Gavião Tesoura</t>
  </si>
  <si>
    <t>Avalon</t>
  </si>
  <si>
    <t>Toca Reto</t>
  </si>
  <si>
    <t>Toca pro Lado</t>
  </si>
  <si>
    <t>Ananias</t>
  </si>
  <si>
    <t>Apitoxina</t>
  </si>
  <si>
    <t>Bloco do Brilho</t>
  </si>
  <si>
    <t>Toca</t>
  </si>
  <si>
    <t>Ingá</t>
  </si>
  <si>
    <t>Lenhadores</t>
  </si>
  <si>
    <t>Fenda do Ingá</t>
  </si>
  <si>
    <t>V7/8</t>
  </si>
  <si>
    <t>V9?</t>
  </si>
  <si>
    <t>V12?</t>
  </si>
  <si>
    <t>V6?</t>
  </si>
  <si>
    <t>Olho de peixe</t>
  </si>
  <si>
    <t>Jactaí</t>
  </si>
  <si>
    <t>Sai de Lado</t>
  </si>
  <si>
    <t>Fissura dos desejos</t>
  </si>
  <si>
    <t>SETOR III</t>
  </si>
  <si>
    <t>Medida Compensatória (em pé)</t>
  </si>
  <si>
    <t>Amor Cego</t>
  </si>
  <si>
    <t>Xoxoti</t>
  </si>
  <si>
    <t>Chaminé dos Coroas</t>
  </si>
  <si>
    <t>Lixeiros</t>
  </si>
  <si>
    <t>Elektra</t>
  </si>
  <si>
    <t>Peter Pan</t>
  </si>
  <si>
    <t>Ana Chata</t>
  </si>
  <si>
    <t>Bauzinho</t>
  </si>
  <si>
    <t>Normal do Bauzinho</t>
  </si>
  <si>
    <t>Paredão Tudo Bem</t>
  </si>
  <si>
    <t>Galba Ataide</t>
  </si>
  <si>
    <t>Baú</t>
  </si>
  <si>
    <t>Teto do Baú</t>
  </si>
  <si>
    <t>Normal do Baú</t>
  </si>
  <si>
    <t>Cresta</t>
  </si>
  <si>
    <t>Learning to Fly</t>
  </si>
  <si>
    <t>Dommingos Giobbi</t>
  </si>
  <si>
    <t>Chaminé Stop</t>
  </si>
  <si>
    <t>Secundo Costa Neto</t>
  </si>
  <si>
    <t>Pão de Açúcar</t>
  </si>
  <si>
    <t>Dedo de Deus</t>
  </si>
  <si>
    <t>Maria Cebola</t>
  </si>
  <si>
    <t>K2</t>
  </si>
  <si>
    <t>Corcovado</t>
  </si>
  <si>
    <t>Capacete</t>
  </si>
  <si>
    <t>Agulhas Negras</t>
  </si>
  <si>
    <t>Agulha do Diabo</t>
  </si>
  <si>
    <t>Pico da Tijuca</t>
  </si>
  <si>
    <t>Pedra do Altar</t>
  </si>
  <si>
    <t>Pedra da Gávea</t>
  </si>
  <si>
    <t>Pico Maior</t>
  </si>
  <si>
    <t>Prateleiras</t>
  </si>
  <si>
    <t>CERJ</t>
  </si>
  <si>
    <t>Travessia Longitudinal</t>
  </si>
  <si>
    <t>Normal</t>
  </si>
  <si>
    <t>P3 Paredão Paraíso Perdido</t>
  </si>
  <si>
    <t>Gênesis</t>
  </si>
  <si>
    <t>Travessia dos Olhos</t>
  </si>
  <si>
    <t>Via Leste</t>
  </si>
  <si>
    <t>Arco da Velha</t>
  </si>
  <si>
    <t>Chaminé Idalício</t>
  </si>
  <si>
    <t>Paraná</t>
  </si>
  <si>
    <t>São Paulo</t>
  </si>
  <si>
    <t>Rio de Janeiro</t>
  </si>
  <si>
    <t>3 III+ C E2 D4</t>
  </si>
  <si>
    <t>3º V</t>
  </si>
  <si>
    <t>Fissura Corneto</t>
  </si>
  <si>
    <t>Local</t>
  </si>
  <si>
    <t>Complexo do Baú</t>
  </si>
  <si>
    <t>Conjunto Marumbi</t>
  </si>
  <si>
    <t>Parque Itatiaia</t>
  </si>
  <si>
    <t>Nova Friburgo</t>
  </si>
  <si>
    <t>Serra dos Orgãos</t>
  </si>
  <si>
    <t>4° V</t>
  </si>
  <si>
    <t>4° IVsup</t>
  </si>
  <si>
    <t>2° III</t>
  </si>
  <si>
    <t>5° Vsup</t>
  </si>
  <si>
    <t>5° V</t>
  </si>
  <si>
    <t>5°</t>
  </si>
  <si>
    <t>5°sup E2</t>
  </si>
  <si>
    <t>3°sup</t>
  </si>
  <si>
    <t>3° IVsup</t>
  </si>
  <si>
    <t>5° VI A2+</t>
  </si>
  <si>
    <t>3° V E3</t>
  </si>
  <si>
    <t>3° IVsup E2</t>
  </si>
  <si>
    <t>3° (VIIIa A1) E3</t>
  </si>
  <si>
    <t>5° (VIsup A0) D3</t>
  </si>
  <si>
    <t>5° (VIsup A0) E3 D4</t>
  </si>
  <si>
    <t>6° VIIa E3 D4</t>
  </si>
  <si>
    <t>2° IIIsup E2</t>
  </si>
  <si>
    <t>3° IIsup</t>
  </si>
  <si>
    <t>5° VIIa</t>
  </si>
  <si>
    <t>4° V E2 D1</t>
  </si>
  <si>
    <t>3° V</t>
  </si>
  <si>
    <t>3° IV</t>
  </si>
  <si>
    <t>Abrolhos</t>
  </si>
  <si>
    <t>Esfinge</t>
  </si>
  <si>
    <t>Torre dos Sinos</t>
  </si>
  <si>
    <t>Ano</t>
  </si>
  <si>
    <t>Steinhager</t>
  </si>
  <si>
    <t>Bico de pedra c/ paliteiro</t>
  </si>
  <si>
    <t>Escoteiros c/ transversal c/urutu</t>
  </si>
  <si>
    <t>Solanjaca</t>
  </si>
  <si>
    <t>Chaminé do Corvo c/ cascavel</t>
  </si>
  <si>
    <t>Total</t>
  </si>
  <si>
    <t>Transversal 6º c/ caninana</t>
  </si>
  <si>
    <t>Acumulada</t>
  </si>
  <si>
    <t>R.S. (Rudolf Stamm) (6sup)</t>
  </si>
  <si>
    <t>Molhadinha</t>
  </si>
  <si>
    <t>AIDS/AZT</t>
  </si>
  <si>
    <t>6°sup</t>
  </si>
  <si>
    <t>Musguenta</t>
  </si>
  <si>
    <t>VIIb (VIIIa A0) A1 E3 M3</t>
  </si>
  <si>
    <t>18 costuras, C#(.2 ao 4) Rep(.75 e 1)</t>
  </si>
  <si>
    <t>7° A2 E3 D4</t>
  </si>
  <si>
    <t>17 Costuras</t>
  </si>
  <si>
    <t>Tem de tudo</t>
  </si>
  <si>
    <t>VIIb A1(8a A0) E3</t>
  </si>
  <si>
    <t>Fissura de Mão c/ Bunda</t>
  </si>
  <si>
    <t>V A0 (VIIb A1) E1</t>
  </si>
  <si>
    <t>Raimunda</t>
  </si>
  <si>
    <t>Sonífera via</t>
  </si>
  <si>
    <t>10 Anos</t>
  </si>
  <si>
    <t>Véio Loko</t>
  </si>
  <si>
    <t>4° sup</t>
  </si>
  <si>
    <t>6° sup</t>
  </si>
  <si>
    <t>Itapiroca</t>
  </si>
  <si>
    <t>V A0 (VIIb A1)  E1</t>
  </si>
  <si>
    <t>Raridade</t>
  </si>
  <si>
    <t>O que tem pra hoje</t>
  </si>
  <si>
    <t>Imposto de Renda</t>
  </si>
  <si>
    <t>Maria Fumaça</t>
  </si>
  <si>
    <t>Bico de Pedra c/ paliteiro</t>
  </si>
  <si>
    <t>Sétimo dia</t>
  </si>
  <si>
    <t>11h05</t>
  </si>
  <si>
    <t>5h30</t>
  </si>
  <si>
    <t>Bico de Pedra</t>
  </si>
  <si>
    <t>3h38</t>
  </si>
  <si>
    <t>VI (VIIa) A0</t>
  </si>
  <si>
    <t>Diretíssima-cristal+diedro+enferrujado</t>
  </si>
  <si>
    <t>Bogotá</t>
  </si>
  <si>
    <t>Diversão garantida</t>
  </si>
  <si>
    <t>Via da direita</t>
  </si>
  <si>
    <t>Técnica</t>
  </si>
  <si>
    <t>Offwidth</t>
  </si>
  <si>
    <t>Chaminé média</t>
  </si>
  <si>
    <t>Chaminé estreita / Offwidth</t>
  </si>
  <si>
    <t>Chaminé larga</t>
  </si>
  <si>
    <t>Fissura de mão e punho</t>
  </si>
  <si>
    <t>Entalamento de mão e punho</t>
  </si>
  <si>
    <t>Chaminé do Corvo c/ Eros</t>
  </si>
  <si>
    <t>Chaminé média/estreita</t>
  </si>
  <si>
    <t>Entalamento de punho</t>
  </si>
  <si>
    <t>Fissura de mão, punho e duplas</t>
  </si>
  <si>
    <t>Cisca cisca</t>
  </si>
  <si>
    <t>Fissura de mão e dedos ?</t>
  </si>
  <si>
    <t>Chaminé média+estreita/Offwidth</t>
  </si>
  <si>
    <t xml:space="preserve"> </t>
  </si>
  <si>
    <t>Ollyver e Danilo</t>
  </si>
  <si>
    <t>Ollyver solitário</t>
  </si>
  <si>
    <t>Chaminé média / Oposição / Entalamento de punho</t>
  </si>
  <si>
    <t>Entalamento de mão</t>
  </si>
  <si>
    <t>Via nova ???</t>
  </si>
  <si>
    <t xml:space="preserve"> Kathmandu</t>
  </si>
  <si>
    <t xml:space="preserve">Lance da subida </t>
  </si>
  <si>
    <t>Acumul.</t>
  </si>
  <si>
    <t>Pedra da aderência</t>
  </si>
  <si>
    <t>Aderencia</t>
  </si>
  <si>
    <t>obs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</si>
</sst>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4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2"/>
      <name val="Arial"/>
      <family val="2"/>
    </font>
    <font>
      <i/>
      <sz val="10"/>
      <color theme="1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2C9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8" fillId="2" borderId="0" xfId="0" applyFont="1" applyFill="1" applyBorder="1"/>
    <xf numFmtId="0" fontId="9" fillId="2" borderId="4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0" fillId="2" borderId="0" xfId="0" applyFont="1" applyFill="1"/>
    <xf numFmtId="0" fontId="18" fillId="2" borderId="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2C931"/>
      <color rgb="FF5FA729"/>
      <color rgb="FF82D246"/>
      <color rgb="FF69B92D"/>
      <color rgb="FF5A9D27"/>
      <color rgb="FF4B8420"/>
      <color rgb="FF3A6519"/>
      <color rgb="FFB17ED8"/>
      <color rgb="FF8C3FC5"/>
      <color rgb="FF284711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workbookViewId="0">
      <selection activeCell="J11" sqref="J11"/>
    </sheetView>
  </sheetViews>
  <sheetFormatPr defaultColWidth="9.140625" defaultRowHeight="15.75"/>
  <cols>
    <col min="1" max="1" width="7.5703125" style="74" bestFit="1" customWidth="1"/>
    <col min="2" max="2" width="37.7109375" style="118" bestFit="1" customWidth="1"/>
    <col min="3" max="3" width="17.85546875" style="118" bestFit="1" customWidth="1"/>
    <col min="4" max="4" width="7.7109375" style="74" bestFit="1" customWidth="1"/>
    <col min="5" max="5" width="16.28515625" style="74" customWidth="1"/>
    <col min="6" max="6" width="53.85546875" style="118" bestFit="1" customWidth="1"/>
    <col min="7" max="9" width="9.140625" style="118"/>
    <col min="10" max="10" width="20.28515625" style="118" bestFit="1" customWidth="1"/>
    <col min="11" max="11" width="5.140625" style="118" bestFit="1" customWidth="1"/>
    <col min="12" max="16384" width="9.140625" style="118"/>
  </cols>
  <sheetData>
    <row r="1" spans="1:6" ht="16.5" thickBot="1">
      <c r="A1" s="74" t="s">
        <v>2</v>
      </c>
      <c r="B1" s="74" t="s">
        <v>73</v>
      </c>
      <c r="C1" s="74" t="s">
        <v>0</v>
      </c>
      <c r="D1" s="74" t="s">
        <v>103</v>
      </c>
      <c r="E1" s="74" t="s">
        <v>882</v>
      </c>
      <c r="F1" s="118" t="s">
        <v>885</v>
      </c>
    </row>
    <row r="2" spans="1:6" s="74" customFormat="1">
      <c r="A2" s="128" t="s">
        <v>81</v>
      </c>
      <c r="B2" s="115" t="s">
        <v>82</v>
      </c>
      <c r="C2" s="91" t="s">
        <v>82</v>
      </c>
      <c r="D2" s="133">
        <v>16</v>
      </c>
      <c r="E2" s="134">
        <f>D2+D3</f>
        <v>35</v>
      </c>
      <c r="F2" s="137"/>
    </row>
    <row r="3" spans="1:6">
      <c r="A3" s="123" t="s">
        <v>86</v>
      </c>
      <c r="B3" s="116" t="s">
        <v>85</v>
      </c>
      <c r="C3" s="118" t="s">
        <v>82</v>
      </c>
      <c r="D3" s="131">
        <v>19</v>
      </c>
      <c r="E3" s="132">
        <f>E2+D4</f>
        <v>80</v>
      </c>
      <c r="F3" s="138"/>
    </row>
    <row r="4" spans="1:6" ht="15" customHeight="1">
      <c r="A4" s="123" t="s">
        <v>81</v>
      </c>
      <c r="B4" s="117" t="s">
        <v>83</v>
      </c>
      <c r="C4" s="118" t="s">
        <v>520</v>
      </c>
      <c r="D4" s="131">
        <v>45</v>
      </c>
      <c r="E4" s="132">
        <f t="shared" ref="E4:E25" si="0">E3+D5</f>
        <v>107</v>
      </c>
      <c r="F4" s="138"/>
    </row>
    <row r="5" spans="1:6">
      <c r="A5" s="123" t="s">
        <v>96</v>
      </c>
      <c r="B5" s="117" t="s">
        <v>98</v>
      </c>
      <c r="C5" s="118" t="s">
        <v>520</v>
      </c>
      <c r="D5" s="131">
        <v>27</v>
      </c>
      <c r="E5" s="132">
        <f t="shared" si="0"/>
        <v>135</v>
      </c>
      <c r="F5" s="138"/>
    </row>
    <row r="6" spans="1:6" ht="15" customHeight="1">
      <c r="A6" s="123" t="s">
        <v>96</v>
      </c>
      <c r="B6" s="117" t="s">
        <v>99</v>
      </c>
      <c r="C6" s="118" t="s">
        <v>520</v>
      </c>
      <c r="D6" s="131">
        <v>28</v>
      </c>
      <c r="E6" s="132">
        <f t="shared" si="0"/>
        <v>163</v>
      </c>
      <c r="F6" s="138"/>
    </row>
    <row r="7" spans="1:6" ht="15.75" customHeight="1">
      <c r="A7" s="123" t="s">
        <v>95</v>
      </c>
      <c r="B7" s="118" t="s">
        <v>523</v>
      </c>
      <c r="C7" s="118" t="s">
        <v>520</v>
      </c>
      <c r="D7" s="131">
        <v>28</v>
      </c>
      <c r="E7" s="132">
        <f t="shared" si="0"/>
        <v>191</v>
      </c>
      <c r="F7" s="138"/>
    </row>
    <row r="8" spans="1:6" ht="15" customHeight="1">
      <c r="A8" s="123" t="s">
        <v>95</v>
      </c>
      <c r="B8" s="118" t="s">
        <v>871</v>
      </c>
      <c r="C8" s="118" t="s">
        <v>520</v>
      </c>
      <c r="D8" s="131">
        <v>28</v>
      </c>
      <c r="E8" s="132">
        <f t="shared" si="0"/>
        <v>218</v>
      </c>
      <c r="F8" s="138"/>
    </row>
    <row r="9" spans="1:6" ht="15.75" customHeight="1">
      <c r="A9" s="123" t="s">
        <v>122</v>
      </c>
      <c r="B9" s="118" t="s">
        <v>546</v>
      </c>
      <c r="C9" s="118" t="s">
        <v>520</v>
      </c>
      <c r="D9" s="131">
        <v>27</v>
      </c>
      <c r="E9" s="132">
        <f t="shared" si="0"/>
        <v>245</v>
      </c>
      <c r="F9" s="139"/>
    </row>
    <row r="10" spans="1:6" ht="15" customHeight="1">
      <c r="A10" s="123" t="s">
        <v>126</v>
      </c>
      <c r="B10" s="118" t="s">
        <v>857</v>
      </c>
      <c r="C10" s="118" t="s">
        <v>520</v>
      </c>
      <c r="D10" s="131">
        <v>27</v>
      </c>
      <c r="E10" s="132">
        <f t="shared" si="0"/>
        <v>265</v>
      </c>
      <c r="F10" s="139"/>
    </row>
    <row r="11" spans="1:6" ht="15" customHeight="1">
      <c r="A11" s="123" t="s">
        <v>86</v>
      </c>
      <c r="B11" s="117" t="s">
        <v>87</v>
      </c>
      <c r="C11" s="118" t="s">
        <v>4</v>
      </c>
      <c r="D11" s="131">
        <v>20</v>
      </c>
      <c r="E11" s="132">
        <f t="shared" si="0"/>
        <v>281</v>
      </c>
      <c r="F11" s="138"/>
    </row>
    <row r="12" spans="1:6" ht="15" customHeight="1">
      <c r="A12" s="123" t="s">
        <v>95</v>
      </c>
      <c r="B12" s="118" t="s">
        <v>528</v>
      </c>
      <c r="C12" s="118" t="s">
        <v>4</v>
      </c>
      <c r="D12" s="131">
        <v>16</v>
      </c>
      <c r="E12" s="132">
        <f t="shared" si="0"/>
        <v>305</v>
      </c>
      <c r="F12" s="138"/>
    </row>
    <row r="13" spans="1:6" ht="15" customHeight="1">
      <c r="A13" s="123" t="s">
        <v>95</v>
      </c>
      <c r="B13" s="117" t="s">
        <v>476</v>
      </c>
      <c r="C13" s="118" t="s">
        <v>477</v>
      </c>
      <c r="D13" s="131">
        <v>24</v>
      </c>
      <c r="E13" s="132">
        <f t="shared" si="0"/>
        <v>333</v>
      </c>
      <c r="F13" s="138"/>
    </row>
    <row r="14" spans="1:6" ht="15" customHeight="1">
      <c r="A14" s="123" t="s">
        <v>95</v>
      </c>
      <c r="B14" s="118" t="s">
        <v>858</v>
      </c>
      <c r="C14" s="118" t="s">
        <v>109</v>
      </c>
      <c r="D14" s="131">
        <v>28</v>
      </c>
      <c r="E14" s="132">
        <f t="shared" si="0"/>
        <v>358</v>
      </c>
      <c r="F14" s="138"/>
    </row>
    <row r="15" spans="1:6" ht="15" customHeight="1">
      <c r="A15" s="123" t="s">
        <v>126</v>
      </c>
      <c r="B15" s="118" t="s">
        <v>544</v>
      </c>
      <c r="C15" s="118" t="s">
        <v>109</v>
      </c>
      <c r="D15" s="131">
        <v>25</v>
      </c>
      <c r="E15" s="132">
        <f t="shared" si="0"/>
        <v>378</v>
      </c>
      <c r="F15" s="139"/>
    </row>
    <row r="16" spans="1:6" ht="15" customHeight="1">
      <c r="A16" s="123" t="s">
        <v>95</v>
      </c>
      <c r="B16" s="118" t="s">
        <v>859</v>
      </c>
      <c r="C16" s="118" t="s">
        <v>109</v>
      </c>
      <c r="D16" s="131">
        <v>20</v>
      </c>
      <c r="E16" s="132">
        <f t="shared" si="0"/>
        <v>392</v>
      </c>
      <c r="F16" s="140"/>
    </row>
    <row r="17" spans="1:6" ht="15" customHeight="1">
      <c r="A17" s="123" t="s">
        <v>86</v>
      </c>
      <c r="B17" s="117" t="s">
        <v>91</v>
      </c>
      <c r="C17" s="117" t="s">
        <v>91</v>
      </c>
      <c r="D17" s="131">
        <v>14</v>
      </c>
      <c r="E17" s="132">
        <f t="shared" si="0"/>
        <v>406</v>
      </c>
      <c r="F17" s="138"/>
    </row>
    <row r="18" spans="1:6" ht="15" customHeight="1">
      <c r="A18" s="123" t="s">
        <v>95</v>
      </c>
      <c r="B18" s="118" t="s">
        <v>531</v>
      </c>
      <c r="C18" s="118" t="s">
        <v>91</v>
      </c>
      <c r="D18" s="131">
        <v>14</v>
      </c>
      <c r="E18" s="132">
        <f t="shared" si="0"/>
        <v>411</v>
      </c>
      <c r="F18" s="139"/>
    </row>
    <row r="19" spans="1:6" ht="15.75" customHeight="1">
      <c r="A19" s="123" t="s">
        <v>95</v>
      </c>
      <c r="B19" s="118" t="s">
        <v>881</v>
      </c>
      <c r="C19" s="118" t="s">
        <v>117</v>
      </c>
      <c r="D19" s="131">
        <v>5</v>
      </c>
      <c r="E19" s="132">
        <f t="shared" si="0"/>
        <v>440</v>
      </c>
      <c r="F19" s="139"/>
    </row>
    <row r="20" spans="1:6" ht="15" customHeight="1">
      <c r="A20" s="123" t="s">
        <v>95</v>
      </c>
      <c r="B20" s="118" t="s">
        <v>537</v>
      </c>
      <c r="C20" s="118" t="s">
        <v>521</v>
      </c>
      <c r="D20" s="131">
        <v>29</v>
      </c>
      <c r="E20" s="132">
        <f t="shared" si="0"/>
        <v>455</v>
      </c>
      <c r="F20" s="139"/>
    </row>
    <row r="21" spans="1:6" ht="15" customHeight="1">
      <c r="A21" s="123" t="s">
        <v>95</v>
      </c>
      <c r="B21" s="118" t="s">
        <v>518</v>
      </c>
      <c r="C21" s="118" t="s">
        <v>79</v>
      </c>
      <c r="D21" s="131">
        <v>15</v>
      </c>
      <c r="E21" s="132">
        <f t="shared" si="0"/>
        <v>465</v>
      </c>
      <c r="F21" s="139"/>
    </row>
    <row r="22" spans="1:6">
      <c r="A22" s="123" t="s">
        <v>95</v>
      </c>
      <c r="B22" s="118" t="s">
        <v>524</v>
      </c>
      <c r="C22" s="118" t="s">
        <v>79</v>
      </c>
      <c r="D22" s="131">
        <v>10</v>
      </c>
      <c r="E22" s="132">
        <f t="shared" si="0"/>
        <v>480</v>
      </c>
      <c r="F22" s="139"/>
    </row>
    <row r="23" spans="1:6" ht="15.75" customHeight="1">
      <c r="A23" s="123" t="s">
        <v>95</v>
      </c>
      <c r="B23" s="118" t="s">
        <v>485</v>
      </c>
      <c r="C23" s="118" t="s">
        <v>490</v>
      </c>
      <c r="D23" s="131">
        <v>15</v>
      </c>
      <c r="E23" s="132">
        <f t="shared" si="0"/>
        <v>496</v>
      </c>
      <c r="F23" s="139"/>
    </row>
    <row r="24" spans="1:6" ht="15" customHeight="1">
      <c r="A24" s="123" t="s">
        <v>95</v>
      </c>
      <c r="B24" s="118" t="s">
        <v>488</v>
      </c>
      <c r="C24" s="118" t="s">
        <v>490</v>
      </c>
      <c r="D24" s="131">
        <v>16</v>
      </c>
      <c r="E24" s="132">
        <f t="shared" si="0"/>
        <v>500</v>
      </c>
      <c r="F24" s="139"/>
    </row>
    <row r="25" spans="1:6" ht="15" customHeight="1" thickBot="1">
      <c r="A25" s="126" t="s">
        <v>126</v>
      </c>
      <c r="B25" s="127" t="s">
        <v>883</v>
      </c>
      <c r="C25" s="127" t="s">
        <v>884</v>
      </c>
      <c r="D25" s="135">
        <v>4</v>
      </c>
      <c r="E25" s="136">
        <f t="shared" si="0"/>
        <v>500</v>
      </c>
      <c r="F25" s="141"/>
    </row>
    <row r="26" spans="1:6" ht="15" customHeight="1">
      <c r="A26" s="118"/>
      <c r="B26" s="117"/>
      <c r="D26" s="118"/>
      <c r="E26" s="118"/>
      <c r="F26" s="117"/>
    </row>
    <row r="27" spans="1:6" ht="15" customHeight="1">
      <c r="A27" s="118"/>
      <c r="D27" s="118"/>
      <c r="E27" s="118"/>
    </row>
    <row r="28" spans="1:6" ht="15" customHeight="1">
      <c r="A28" s="118"/>
      <c r="D28" s="118"/>
      <c r="E28" s="118"/>
    </row>
    <row r="29" spans="1:6" ht="15.75" customHeight="1">
      <c r="A29" s="118"/>
      <c r="D29" s="118"/>
      <c r="E29" s="118"/>
    </row>
    <row r="30" spans="1:6" ht="15.75" customHeight="1">
      <c r="A30" s="118"/>
      <c r="D30" s="118"/>
      <c r="E30" s="118"/>
    </row>
    <row r="31" spans="1:6" ht="15" customHeight="1">
      <c r="A31" s="118"/>
      <c r="B31" s="117"/>
      <c r="D31" s="118"/>
      <c r="E31" s="118"/>
      <c r="F31" s="117"/>
    </row>
    <row r="32" spans="1:6" ht="15" customHeight="1">
      <c r="A32" s="118"/>
      <c r="B32" s="117"/>
      <c r="D32" s="118"/>
      <c r="E32" s="118"/>
      <c r="F32" s="117"/>
    </row>
    <row r="33" spans="1:6" ht="15" customHeight="1">
      <c r="A33" s="118"/>
      <c r="D33" s="118"/>
      <c r="E33" s="118"/>
    </row>
    <row r="34" spans="1:6" ht="15" customHeight="1">
      <c r="A34" s="118"/>
      <c r="D34" s="118"/>
      <c r="E34" s="118"/>
    </row>
    <row r="35" spans="1:6" ht="15">
      <c r="A35" s="118"/>
      <c r="D35" s="118"/>
      <c r="E35" s="118"/>
    </row>
    <row r="36" spans="1:6" ht="15">
      <c r="A36" s="118"/>
      <c r="D36" s="118"/>
      <c r="E36" s="118"/>
    </row>
    <row r="37" spans="1:6" ht="15.75" customHeight="1">
      <c r="A37" s="118"/>
      <c r="B37" s="119"/>
      <c r="D37" s="94"/>
      <c r="E37" s="94"/>
      <c r="F37" s="119"/>
    </row>
    <row r="38" spans="1:6" ht="15">
      <c r="A38" s="118"/>
      <c r="B38" s="114"/>
      <c r="C38" s="114"/>
      <c r="D38" s="114"/>
      <c r="E38" s="118"/>
    </row>
    <row r="39" spans="1:6" ht="15" customHeight="1">
      <c r="A39" s="113"/>
      <c r="D39" s="118"/>
      <c r="E39" s="118"/>
    </row>
    <row r="40" spans="1:6" ht="15" customHeight="1">
      <c r="A40" s="118"/>
      <c r="D40" s="118"/>
      <c r="E40" s="118"/>
    </row>
    <row r="41" spans="1:6" ht="15" customHeight="1">
      <c r="A41" s="118"/>
      <c r="D41" s="118"/>
      <c r="E41" s="118"/>
      <c r="F41" s="117"/>
    </row>
    <row r="42" spans="1:6" ht="15" customHeight="1">
      <c r="A42" s="118"/>
      <c r="D42" s="94"/>
      <c r="E42" s="94"/>
    </row>
    <row r="43" spans="1:6" ht="15" customHeight="1">
      <c r="A43" s="118"/>
      <c r="D43" s="118"/>
      <c r="E43" s="118"/>
    </row>
    <row r="44" spans="1:6" ht="15.75" customHeight="1">
      <c r="A44" s="118"/>
      <c r="D44" s="118"/>
      <c r="E44" s="118"/>
      <c r="F44" s="117"/>
    </row>
    <row r="45" spans="1:6" ht="15" customHeight="1">
      <c r="A45" s="118"/>
      <c r="D45" s="118"/>
      <c r="E45" s="118"/>
    </row>
    <row r="46" spans="1:6" ht="15" customHeight="1">
      <c r="A46" s="118"/>
      <c r="D46" s="94"/>
      <c r="E46" s="94"/>
    </row>
    <row r="47" spans="1:6" ht="15" customHeight="1">
      <c r="A47" s="118"/>
      <c r="B47" s="114"/>
      <c r="C47" s="114"/>
      <c r="D47" s="114"/>
      <c r="E47" s="118"/>
    </row>
    <row r="48" spans="1:6" ht="15" customHeight="1">
      <c r="A48" s="113"/>
      <c r="B48" s="54"/>
      <c r="C48" s="113"/>
      <c r="D48" s="54"/>
      <c r="E48" s="119"/>
      <c r="F48" s="119"/>
    </row>
    <row r="49" spans="1:6" ht="15" customHeight="1">
      <c r="A49" s="118"/>
      <c r="D49" s="118"/>
      <c r="E49" s="118"/>
      <c r="F49" s="117"/>
    </row>
    <row r="50" spans="1:6" ht="15" customHeight="1">
      <c r="A50" s="118"/>
      <c r="D50" s="118"/>
      <c r="E50" s="118"/>
    </row>
    <row r="51" spans="1:6" ht="15" customHeight="1">
      <c r="A51" s="118"/>
      <c r="D51" s="118"/>
      <c r="E51" s="118"/>
    </row>
    <row r="52" spans="1:6" ht="15" customHeight="1">
      <c r="A52" s="118"/>
      <c r="D52" s="118"/>
      <c r="E52" s="118"/>
    </row>
    <row r="53" spans="1:6" ht="15" customHeight="1">
      <c r="A53" s="118"/>
      <c r="D53" s="118"/>
      <c r="E53" s="118"/>
    </row>
    <row r="54" spans="1:6" ht="15" customHeight="1">
      <c r="A54" s="118"/>
      <c r="D54" s="118"/>
      <c r="E54" s="118"/>
    </row>
    <row r="55" spans="1:6" ht="15" customHeight="1">
      <c r="A55" s="118"/>
      <c r="D55" s="118"/>
      <c r="E55" s="118"/>
    </row>
    <row r="56" spans="1:6" ht="15" customHeight="1">
      <c r="A56" s="118"/>
      <c r="D56" s="118"/>
      <c r="E56" s="118"/>
    </row>
    <row r="57" spans="1:6" ht="15" customHeight="1">
      <c r="A57" s="118"/>
      <c r="D57" s="118"/>
      <c r="E57" s="118"/>
    </row>
    <row r="58" spans="1:6" ht="15" customHeight="1">
      <c r="A58" s="118"/>
      <c r="D58" s="118"/>
      <c r="E58" s="118"/>
    </row>
    <row r="59" spans="1:6" ht="15" customHeight="1">
      <c r="A59" s="118"/>
      <c r="D59" s="118"/>
      <c r="E59" s="118"/>
    </row>
    <row r="60" spans="1:6" ht="15" customHeight="1">
      <c r="A60" s="118"/>
      <c r="D60" s="118"/>
      <c r="E60" s="118"/>
    </row>
    <row r="61" spans="1:6" ht="15" customHeight="1">
      <c r="A61" s="118"/>
      <c r="D61" s="118"/>
      <c r="E61" s="118"/>
    </row>
    <row r="62" spans="1:6" ht="15" customHeight="1">
      <c r="A62" s="118"/>
      <c r="D62" s="118"/>
      <c r="E62" s="118"/>
    </row>
    <row r="63" spans="1:6" ht="15">
      <c r="A63" s="118"/>
      <c r="D63" s="118"/>
      <c r="E63" s="118"/>
      <c r="F63" s="117"/>
    </row>
    <row r="64" spans="1:6" ht="15">
      <c r="A64" s="118"/>
      <c r="D64" s="118"/>
      <c r="E64" s="118"/>
    </row>
    <row r="65" spans="1:6" ht="15" customHeight="1">
      <c r="A65" s="118"/>
      <c r="D65" s="118"/>
      <c r="E65" s="118"/>
    </row>
    <row r="66" spans="1:6" ht="15" customHeight="1">
      <c r="A66" s="118"/>
      <c r="D66" s="118"/>
      <c r="E66" s="118"/>
    </row>
    <row r="67" spans="1:6" ht="15" customHeight="1">
      <c r="A67" s="118"/>
      <c r="D67" s="94"/>
      <c r="E67" s="94"/>
    </row>
    <row r="68" spans="1:6" ht="15" customHeight="1">
      <c r="A68" s="118"/>
      <c r="B68" s="119"/>
      <c r="D68" s="94"/>
      <c r="E68" s="94"/>
      <c r="F68" s="119"/>
    </row>
    <row r="69" spans="1:6" ht="15" customHeight="1">
      <c r="A69" s="118"/>
      <c r="B69" s="114"/>
      <c r="C69" s="114"/>
      <c r="D69" s="114"/>
      <c r="E69" s="118"/>
    </row>
    <row r="70" spans="1:6" ht="15" customHeight="1">
      <c r="A70" s="113"/>
      <c r="D70" s="118"/>
      <c r="E70" s="118"/>
    </row>
    <row r="71" spans="1:6" ht="15" customHeight="1">
      <c r="A71" s="118"/>
      <c r="D71" s="118"/>
      <c r="E71" s="118"/>
    </row>
    <row r="72" spans="1:6" ht="15" customHeight="1">
      <c r="A72" s="118"/>
      <c r="D72" s="118"/>
      <c r="E72" s="118"/>
    </row>
    <row r="73" spans="1:6" ht="15" customHeight="1">
      <c r="A73" s="118"/>
      <c r="D73" s="118"/>
      <c r="E73" s="118"/>
    </row>
    <row r="74" spans="1:6" ht="15" customHeight="1">
      <c r="A74" s="118"/>
      <c r="D74" s="118"/>
      <c r="E74" s="118"/>
    </row>
    <row r="75" spans="1:6" ht="15" customHeight="1">
      <c r="A75" s="118"/>
      <c r="D75" s="118"/>
      <c r="E75" s="118"/>
    </row>
    <row r="76" spans="1:6" ht="15" customHeight="1">
      <c r="A76" s="118"/>
      <c r="D76" s="118"/>
      <c r="E76" s="118"/>
    </row>
    <row r="77" spans="1:6" ht="15" customHeight="1">
      <c r="A77" s="118"/>
      <c r="D77" s="94"/>
      <c r="E77" s="94"/>
    </row>
    <row r="78" spans="1:6" ht="15" customHeight="1">
      <c r="A78" s="118"/>
      <c r="B78" s="119"/>
      <c r="D78" s="118"/>
      <c r="E78" s="118"/>
      <c r="F78" s="119"/>
    </row>
    <row r="79" spans="1:6" ht="15" customHeight="1">
      <c r="A79" s="118"/>
      <c r="D79" s="118"/>
      <c r="E79" s="118"/>
    </row>
    <row r="80" spans="1:6" ht="15" customHeight="1">
      <c r="A80" s="118"/>
      <c r="D80" s="118"/>
      <c r="E80" s="118"/>
    </row>
    <row r="81" spans="1:6" ht="15" customHeight="1">
      <c r="A81" s="118"/>
      <c r="D81" s="118"/>
      <c r="E81" s="118"/>
    </row>
    <row r="82" spans="1:6" ht="15" customHeight="1">
      <c r="A82" s="118"/>
      <c r="D82" s="118"/>
      <c r="E82" s="118"/>
    </row>
    <row r="83" spans="1:6" ht="15" customHeight="1">
      <c r="A83" s="118"/>
      <c r="D83" s="118"/>
      <c r="E83" s="118"/>
    </row>
    <row r="84" spans="1:6" ht="15" customHeight="1">
      <c r="A84" s="118"/>
      <c r="D84" s="118"/>
      <c r="E84" s="118"/>
    </row>
    <row r="85" spans="1:6" ht="15" customHeight="1">
      <c r="A85" s="118"/>
      <c r="D85" s="118"/>
      <c r="E85" s="118"/>
    </row>
    <row r="86" spans="1:6" ht="15" customHeight="1">
      <c r="A86" s="118"/>
      <c r="D86" s="118"/>
      <c r="E86" s="118"/>
    </row>
    <row r="87" spans="1:6" ht="15" customHeight="1">
      <c r="A87" s="118"/>
      <c r="D87" s="118"/>
      <c r="E87" s="118"/>
    </row>
    <row r="88" spans="1:6" ht="15" customHeight="1">
      <c r="A88" s="118"/>
      <c r="D88" s="118"/>
      <c r="E88" s="118"/>
    </row>
    <row r="89" spans="1:6" ht="15" customHeight="1">
      <c r="A89" s="118"/>
      <c r="D89" s="118"/>
      <c r="E89" s="118"/>
    </row>
    <row r="90" spans="1:6" ht="15">
      <c r="A90" s="118"/>
      <c r="D90" s="118"/>
      <c r="E90" s="118"/>
      <c r="F90" s="117"/>
    </row>
    <row r="91" spans="1:6" ht="15">
      <c r="A91" s="118"/>
      <c r="D91" s="118"/>
      <c r="E91" s="118"/>
      <c r="F91" s="117"/>
    </row>
    <row r="92" spans="1:6" ht="15">
      <c r="A92" s="118"/>
      <c r="D92" s="118"/>
      <c r="E92" s="118"/>
      <c r="F92" s="117"/>
    </row>
    <row r="93" spans="1:6" ht="15">
      <c r="A93" s="118"/>
      <c r="D93" s="118"/>
      <c r="E93" s="118"/>
    </row>
    <row r="94" spans="1:6" ht="15" customHeight="1">
      <c r="A94" s="118"/>
      <c r="D94" s="118"/>
      <c r="E94" s="118"/>
    </row>
    <row r="95" spans="1:6" ht="15">
      <c r="A95" s="118"/>
      <c r="D95" s="118"/>
      <c r="E95" s="118"/>
    </row>
    <row r="96" spans="1:6" ht="15">
      <c r="A96" s="118"/>
      <c r="D96" s="118"/>
      <c r="E96" s="118"/>
    </row>
    <row r="97" spans="1:5" ht="15">
      <c r="A97" s="118"/>
      <c r="D97" s="118"/>
      <c r="E97" s="118"/>
    </row>
    <row r="98" spans="1:5" ht="15" customHeight="1">
      <c r="A98" s="118"/>
      <c r="D98" s="118"/>
      <c r="E98" s="118"/>
    </row>
    <row r="99" spans="1:5" ht="15" customHeight="1">
      <c r="A99" s="118"/>
      <c r="D99" s="118"/>
      <c r="E99" s="118"/>
    </row>
    <row r="100" spans="1:5" ht="15" customHeight="1">
      <c r="A100" s="118"/>
      <c r="D100" s="118"/>
      <c r="E100" s="118"/>
    </row>
    <row r="101" spans="1:5" ht="15" customHeight="1">
      <c r="A101" s="118"/>
      <c r="D101" s="94"/>
      <c r="E101" s="94"/>
    </row>
    <row r="102" spans="1:5" ht="15" customHeight="1">
      <c r="A102" s="118"/>
      <c r="D102" s="94"/>
      <c r="E102" s="94"/>
    </row>
    <row r="103" spans="1:5" ht="15" customHeight="1">
      <c r="A103" s="118"/>
      <c r="D103" s="94"/>
      <c r="E103" s="94"/>
    </row>
    <row r="104" spans="1:5" ht="15" customHeight="1">
      <c r="A104" s="118"/>
      <c r="D104" s="118"/>
      <c r="E104" s="118"/>
    </row>
    <row r="105" spans="1:5" ht="15" customHeight="1">
      <c r="A105" s="118"/>
      <c r="D105" s="118"/>
      <c r="E105" s="118"/>
    </row>
    <row r="106" spans="1:5" ht="15" customHeight="1">
      <c r="A106" s="118"/>
      <c r="B106" s="114"/>
      <c r="C106" s="114"/>
      <c r="D106" s="95"/>
      <c r="E106" s="94"/>
    </row>
    <row r="107" spans="1:5" ht="15" customHeight="1">
      <c r="A107" s="113"/>
      <c r="D107" s="118"/>
      <c r="E107" s="118"/>
    </row>
    <row r="108" spans="1:5" ht="15" customHeight="1">
      <c r="A108" s="118"/>
      <c r="D108" s="118"/>
      <c r="E108" s="118"/>
    </row>
    <row r="109" spans="1:5" ht="15" customHeight="1">
      <c r="A109" s="118"/>
      <c r="D109" s="118"/>
      <c r="E109" s="118"/>
    </row>
    <row r="110" spans="1:5" ht="15" customHeight="1">
      <c r="A110" s="118"/>
      <c r="D110" s="118"/>
      <c r="E110" s="118"/>
    </row>
    <row r="111" spans="1:5" ht="15" customHeight="1">
      <c r="A111" s="118"/>
      <c r="D111" s="118"/>
      <c r="E111" s="118"/>
    </row>
    <row r="112" spans="1:5" ht="15" customHeight="1">
      <c r="A112" s="118"/>
      <c r="D112" s="118"/>
      <c r="E112" s="118"/>
    </row>
    <row r="113" spans="1:6" ht="15" customHeight="1">
      <c r="A113" s="118"/>
      <c r="D113" s="118"/>
      <c r="E113" s="118"/>
    </row>
    <row r="114" spans="1:6" ht="15" customHeight="1">
      <c r="A114" s="118"/>
      <c r="D114" s="118"/>
      <c r="E114" s="118"/>
    </row>
    <row r="115" spans="1:6" ht="15" customHeight="1">
      <c r="A115" s="118"/>
      <c r="B115" s="119"/>
      <c r="D115" s="118"/>
      <c r="E115" s="118"/>
      <c r="F115" s="119"/>
    </row>
    <row r="116" spans="1:6" ht="15" customHeight="1">
      <c r="A116" s="118"/>
      <c r="D116" s="118"/>
      <c r="E116" s="118"/>
    </row>
    <row r="117" spans="1:6" ht="15" customHeight="1">
      <c r="A117" s="118"/>
      <c r="D117" s="118"/>
      <c r="E117" s="118"/>
    </row>
    <row r="118" spans="1:6" ht="15" customHeight="1">
      <c r="A118" s="118"/>
      <c r="D118" s="118"/>
      <c r="E118" s="118"/>
    </row>
    <row r="119" spans="1:6" ht="15" customHeight="1">
      <c r="A119" s="118"/>
      <c r="D119" s="94"/>
      <c r="E119" s="94"/>
    </row>
    <row r="120" spans="1:6" ht="15" customHeight="1">
      <c r="A120" s="118"/>
      <c r="B120" s="72"/>
      <c r="C120" s="114"/>
      <c r="D120" s="114"/>
      <c r="E120" s="118"/>
      <c r="F120" s="119"/>
    </row>
    <row r="121" spans="1:6" ht="15" customHeight="1">
      <c r="A121" s="113"/>
      <c r="B121" s="113"/>
      <c r="C121" s="113"/>
      <c r="D121" s="96"/>
      <c r="E121" s="94"/>
    </row>
    <row r="122" spans="1:6" ht="15" customHeight="1">
      <c r="A122" s="118"/>
      <c r="D122" s="118"/>
      <c r="E122" s="118"/>
    </row>
    <row r="123" spans="1:6" ht="15" customHeight="1">
      <c r="A123" s="118"/>
      <c r="D123" s="118"/>
      <c r="E123" s="118"/>
    </row>
    <row r="124" spans="1:6" ht="15" customHeight="1">
      <c r="A124" s="118"/>
      <c r="D124" s="118"/>
      <c r="E124" s="118"/>
    </row>
    <row r="125" spans="1:6" ht="15" customHeight="1">
      <c r="A125" s="118"/>
      <c r="D125" s="118"/>
      <c r="E125" s="118"/>
    </row>
    <row r="126" spans="1:6" ht="15" customHeight="1">
      <c r="A126" s="118"/>
      <c r="B126" s="119"/>
      <c r="D126" s="94"/>
      <c r="E126" s="94"/>
      <c r="F126" s="119"/>
    </row>
    <row r="127" spans="1:6" ht="15" customHeight="1">
      <c r="A127" s="118"/>
      <c r="D127" s="118"/>
      <c r="E127" s="118"/>
    </row>
    <row r="128" spans="1:6" ht="15">
      <c r="A128" s="118"/>
      <c r="D128" s="118"/>
      <c r="E128" s="118"/>
    </row>
    <row r="129" spans="1:6" ht="15" customHeight="1">
      <c r="A129" s="118"/>
      <c r="D129" s="118"/>
      <c r="E129" s="118"/>
    </row>
    <row r="130" spans="1:6" ht="15" customHeight="1">
      <c r="A130" s="118"/>
      <c r="D130" s="118"/>
      <c r="E130" s="118"/>
    </row>
    <row r="131" spans="1:6" ht="15" customHeight="1">
      <c r="A131" s="118"/>
      <c r="D131" s="118"/>
      <c r="E131" s="118"/>
    </row>
    <row r="132" spans="1:6" ht="15" customHeight="1">
      <c r="A132" s="118"/>
      <c r="D132" s="118"/>
      <c r="E132" s="118"/>
    </row>
    <row r="133" spans="1:6" ht="15" customHeight="1">
      <c r="A133" s="118"/>
      <c r="D133" s="118"/>
      <c r="E133" s="118"/>
    </row>
    <row r="134" spans="1:6" ht="15" customHeight="1">
      <c r="A134" s="118"/>
      <c r="D134" s="118"/>
      <c r="E134" s="118"/>
    </row>
    <row r="135" spans="1:6" ht="15" customHeight="1">
      <c r="A135" s="118"/>
      <c r="D135" s="118"/>
      <c r="E135" s="118"/>
    </row>
    <row r="136" spans="1:6" ht="15" customHeight="1">
      <c r="A136" s="118"/>
      <c r="D136" s="118"/>
      <c r="E136" s="118"/>
    </row>
    <row r="137" spans="1:6" ht="15" customHeight="1">
      <c r="A137" s="118"/>
      <c r="D137" s="118"/>
      <c r="E137" s="118"/>
    </row>
    <row r="138" spans="1:6" ht="15" customHeight="1">
      <c r="A138" s="118"/>
      <c r="D138" s="118"/>
      <c r="E138" s="118"/>
    </row>
    <row r="139" spans="1:6" ht="15" customHeight="1">
      <c r="A139" s="118"/>
      <c r="B139" s="119"/>
      <c r="D139" s="118"/>
      <c r="E139" s="118"/>
      <c r="F139" s="119"/>
    </row>
    <row r="140" spans="1:6" ht="15" customHeight="1">
      <c r="A140" s="118"/>
      <c r="B140" s="119"/>
      <c r="D140" s="118"/>
      <c r="E140" s="118"/>
      <c r="F140" s="119"/>
    </row>
    <row r="141" spans="1:6" ht="15" customHeight="1">
      <c r="A141" s="118"/>
      <c r="B141" s="114"/>
      <c r="C141" s="114"/>
      <c r="D141" s="114"/>
      <c r="E141" s="118"/>
    </row>
    <row r="142" spans="1:6" ht="15" customHeight="1">
      <c r="A142" s="113"/>
      <c r="B142" s="113"/>
      <c r="C142" s="113"/>
      <c r="D142" s="96"/>
      <c r="E142" s="94"/>
    </row>
    <row r="143" spans="1:6" ht="15" customHeight="1">
      <c r="A143" s="118"/>
      <c r="D143" s="118"/>
      <c r="E143" s="118"/>
    </row>
    <row r="144" spans="1:6" ht="15" customHeight="1">
      <c r="A144" s="118"/>
      <c r="D144" s="118"/>
      <c r="E144" s="118"/>
    </row>
    <row r="145" spans="1:6" ht="15" customHeight="1">
      <c r="A145" s="118"/>
      <c r="D145" s="118"/>
      <c r="E145" s="118"/>
    </row>
    <row r="146" spans="1:6" ht="15" customHeight="1">
      <c r="A146" s="118"/>
      <c r="D146" s="118"/>
      <c r="E146" s="118"/>
    </row>
    <row r="147" spans="1:6" ht="15" customHeight="1">
      <c r="A147" s="118"/>
      <c r="D147" s="118"/>
      <c r="E147" s="118"/>
    </row>
    <row r="148" spans="1:6" ht="15" customHeight="1">
      <c r="A148" s="118"/>
      <c r="D148" s="118"/>
      <c r="E148" s="118"/>
    </row>
    <row r="149" spans="1:6" ht="15" customHeight="1">
      <c r="A149" s="118"/>
      <c r="B149" s="114"/>
      <c r="C149" s="114"/>
      <c r="D149" s="114"/>
      <c r="E149" s="118"/>
    </row>
    <row r="150" spans="1:6" ht="15" customHeight="1">
      <c r="A150" s="113"/>
      <c r="B150" s="113"/>
      <c r="C150" s="113"/>
      <c r="D150" s="73"/>
    </row>
    <row r="151" spans="1:6" ht="15" customHeight="1">
      <c r="A151" s="118"/>
    </row>
    <row r="152" spans="1:6" ht="15" customHeight="1">
      <c r="A152" s="118"/>
      <c r="B152" s="119"/>
      <c r="F152" s="119"/>
    </row>
    <row r="153" spans="1:6" ht="15" customHeight="1">
      <c r="A153" s="118"/>
    </row>
    <row r="154" spans="1:6" ht="15" customHeight="1">
      <c r="A154" s="118"/>
      <c r="B154" s="114"/>
      <c r="C154" s="114"/>
      <c r="D154" s="114"/>
      <c r="E154" s="118"/>
    </row>
    <row r="155" spans="1:6">
      <c r="A155" s="113"/>
    </row>
    <row r="156" spans="1:6" ht="15" customHeight="1">
      <c r="A156" s="113"/>
      <c r="B156" s="113"/>
      <c r="C156" s="113"/>
      <c r="D156" s="73"/>
    </row>
    <row r="157" spans="1:6" ht="15" customHeight="1">
      <c r="A157" s="114"/>
    </row>
    <row r="158" spans="1:6" ht="15" customHeight="1">
      <c r="A158" s="118"/>
      <c r="B158" s="113"/>
      <c r="C158" s="113"/>
      <c r="D158" s="73"/>
    </row>
    <row r="159" spans="1:6" ht="15" customHeight="1">
      <c r="A159" s="118"/>
    </row>
    <row r="160" spans="1:6" ht="15" customHeight="1">
      <c r="A160" s="118"/>
    </row>
    <row r="161" spans="1:4" ht="15" customHeight="1">
      <c r="A161" s="114"/>
      <c r="B161" s="114"/>
      <c r="C161" s="114"/>
      <c r="D161" s="75"/>
    </row>
    <row r="162" spans="1:4">
      <c r="A162" s="118"/>
    </row>
    <row r="163" spans="1:4">
      <c r="A163" s="118"/>
    </row>
    <row r="164" spans="1:4">
      <c r="A164" s="118"/>
    </row>
    <row r="165" spans="1:4">
      <c r="A165" s="118"/>
    </row>
  </sheetData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2"/>
  <sheetViews>
    <sheetView topLeftCell="A7" zoomScale="80" zoomScaleNormal="80" workbookViewId="0">
      <selection activeCell="D31" sqref="D31"/>
    </sheetView>
  </sheetViews>
  <sheetFormatPr defaultColWidth="9.140625" defaultRowHeight="15.75"/>
  <cols>
    <col min="1" max="1" width="7.5703125" style="74" bestFit="1" customWidth="1"/>
    <col min="2" max="2" width="37.7109375" style="110" bestFit="1" customWidth="1"/>
    <col min="3" max="3" width="17.85546875" style="110" bestFit="1" customWidth="1"/>
    <col min="4" max="4" width="7.7109375" style="74" bestFit="1" customWidth="1"/>
    <col min="5" max="5" width="16.28515625" style="74" customWidth="1"/>
    <col min="6" max="6" width="53.85546875" style="118" bestFit="1" customWidth="1"/>
    <col min="7" max="9" width="9.140625" style="110"/>
    <col min="10" max="10" width="20.28515625" style="110" bestFit="1" customWidth="1"/>
    <col min="11" max="11" width="5.140625" style="110" bestFit="1" customWidth="1"/>
    <col min="12" max="16384" width="9.140625" style="110"/>
  </cols>
  <sheetData>
    <row r="1" spans="1:6" s="118" customFormat="1" ht="16.5" thickBot="1">
      <c r="A1" s="74" t="s">
        <v>2</v>
      </c>
      <c r="B1" s="74" t="s">
        <v>73</v>
      </c>
      <c r="C1" s="74" t="s">
        <v>0</v>
      </c>
      <c r="D1" s="74" t="s">
        <v>103</v>
      </c>
      <c r="E1" s="74" t="s">
        <v>882</v>
      </c>
    </row>
    <row r="2" spans="1:6" s="74" customFormat="1">
      <c r="A2" s="128" t="s">
        <v>81</v>
      </c>
      <c r="B2" s="115" t="s">
        <v>82</v>
      </c>
      <c r="C2" s="91" t="s">
        <v>82</v>
      </c>
      <c r="D2" s="91">
        <v>16</v>
      </c>
      <c r="E2" s="122">
        <f>D2+D3</f>
        <v>35</v>
      </c>
      <c r="F2" s="117"/>
    </row>
    <row r="3" spans="1:6">
      <c r="A3" s="123" t="s">
        <v>86</v>
      </c>
      <c r="B3" s="116" t="s">
        <v>85</v>
      </c>
      <c r="C3" s="118" t="s">
        <v>82</v>
      </c>
      <c r="D3" s="118">
        <v>19</v>
      </c>
      <c r="E3" s="124">
        <f>E2+D4</f>
        <v>80</v>
      </c>
      <c r="F3" s="117"/>
    </row>
    <row r="4" spans="1:6" ht="15" customHeight="1">
      <c r="A4" s="123" t="s">
        <v>81</v>
      </c>
      <c r="B4" s="117" t="s">
        <v>83</v>
      </c>
      <c r="C4" s="118" t="s">
        <v>520</v>
      </c>
      <c r="D4" s="118">
        <v>45</v>
      </c>
      <c r="E4" s="124">
        <f t="shared" ref="E4:E36" si="0">E3+D5</f>
        <v>111</v>
      </c>
      <c r="F4" s="117"/>
    </row>
    <row r="5" spans="1:6" ht="15" customHeight="1">
      <c r="A5" s="125" t="s">
        <v>96</v>
      </c>
      <c r="B5" s="121" t="s">
        <v>97</v>
      </c>
      <c r="C5" s="120" t="s">
        <v>520</v>
      </c>
      <c r="D5" s="120">
        <v>31</v>
      </c>
      <c r="E5" s="124">
        <f t="shared" si="0"/>
        <v>138</v>
      </c>
      <c r="F5" s="117"/>
    </row>
    <row r="6" spans="1:6">
      <c r="A6" s="123" t="s">
        <v>96</v>
      </c>
      <c r="B6" s="117" t="s">
        <v>98</v>
      </c>
      <c r="C6" s="118" t="s">
        <v>520</v>
      </c>
      <c r="D6" s="118">
        <v>27</v>
      </c>
      <c r="E6" s="124">
        <f t="shared" si="0"/>
        <v>166</v>
      </c>
      <c r="F6" s="117"/>
    </row>
    <row r="7" spans="1:6" ht="15" customHeight="1">
      <c r="A7" s="123" t="s">
        <v>96</v>
      </c>
      <c r="B7" s="117" t="s">
        <v>99</v>
      </c>
      <c r="C7" s="118" t="s">
        <v>520</v>
      </c>
      <c r="D7" s="118">
        <v>28</v>
      </c>
      <c r="E7" s="124">
        <f t="shared" si="0"/>
        <v>196</v>
      </c>
      <c r="F7" s="117"/>
    </row>
    <row r="8" spans="1:6">
      <c r="A8" s="125" t="s">
        <v>96</v>
      </c>
      <c r="B8" s="121" t="s">
        <v>880</v>
      </c>
      <c r="C8" s="120" t="s">
        <v>520</v>
      </c>
      <c r="D8" s="120">
        <v>30</v>
      </c>
      <c r="E8" s="124">
        <f t="shared" si="0"/>
        <v>224</v>
      </c>
    </row>
    <row r="9" spans="1:6" ht="15.75" customHeight="1">
      <c r="A9" s="123" t="s">
        <v>95</v>
      </c>
      <c r="B9" s="118" t="s">
        <v>523</v>
      </c>
      <c r="C9" s="118" t="s">
        <v>520</v>
      </c>
      <c r="D9" s="118">
        <v>28</v>
      </c>
      <c r="E9" s="124">
        <f t="shared" si="0"/>
        <v>252</v>
      </c>
      <c r="F9" s="117"/>
    </row>
    <row r="10" spans="1:6" ht="15" customHeight="1">
      <c r="A10" s="123" t="s">
        <v>95</v>
      </c>
      <c r="B10" s="118" t="s">
        <v>871</v>
      </c>
      <c r="C10" s="118" t="s">
        <v>520</v>
      </c>
      <c r="D10" s="118">
        <v>28</v>
      </c>
      <c r="E10" s="124">
        <f t="shared" si="0"/>
        <v>279</v>
      </c>
      <c r="F10" s="117"/>
    </row>
    <row r="11" spans="1:6" ht="15.75" customHeight="1">
      <c r="A11" s="123" t="s">
        <v>122</v>
      </c>
      <c r="B11" s="118" t="s">
        <v>546</v>
      </c>
      <c r="C11" s="118" t="s">
        <v>520</v>
      </c>
      <c r="D11" s="118">
        <v>27</v>
      </c>
      <c r="E11" s="124">
        <f t="shared" si="0"/>
        <v>306</v>
      </c>
    </row>
    <row r="12" spans="1:6" ht="15" customHeight="1">
      <c r="A12" s="123" t="s">
        <v>126</v>
      </c>
      <c r="B12" s="118" t="s">
        <v>857</v>
      </c>
      <c r="C12" s="118" t="s">
        <v>520</v>
      </c>
      <c r="D12" s="118">
        <v>27</v>
      </c>
      <c r="E12" s="124">
        <f t="shared" si="0"/>
        <v>326</v>
      </c>
    </row>
    <row r="13" spans="1:6" ht="15" customHeight="1">
      <c r="A13" s="123" t="s">
        <v>86</v>
      </c>
      <c r="B13" s="117" t="s">
        <v>87</v>
      </c>
      <c r="C13" s="118" t="s">
        <v>4</v>
      </c>
      <c r="D13" s="118">
        <v>20</v>
      </c>
      <c r="E13" s="124">
        <f t="shared" si="0"/>
        <v>342</v>
      </c>
      <c r="F13" s="117"/>
    </row>
    <row r="14" spans="1:6" ht="15" customHeight="1">
      <c r="A14" s="123" t="s">
        <v>95</v>
      </c>
      <c r="B14" s="118" t="s">
        <v>528</v>
      </c>
      <c r="C14" s="118" t="s">
        <v>4</v>
      </c>
      <c r="D14" s="118">
        <v>16</v>
      </c>
      <c r="E14" s="124">
        <f t="shared" si="0"/>
        <v>366</v>
      </c>
      <c r="F14" s="117"/>
    </row>
    <row r="15" spans="1:6" ht="15" customHeight="1">
      <c r="A15" s="125" t="s">
        <v>81</v>
      </c>
      <c r="B15" s="121" t="s">
        <v>474</v>
      </c>
      <c r="C15" s="120" t="s">
        <v>477</v>
      </c>
      <c r="D15" s="120">
        <v>24</v>
      </c>
      <c r="E15" s="124">
        <f t="shared" si="0"/>
        <v>389</v>
      </c>
      <c r="F15" s="117"/>
    </row>
    <row r="16" spans="1:6">
      <c r="A16" s="125" t="s">
        <v>86</v>
      </c>
      <c r="B16" s="121" t="s">
        <v>475</v>
      </c>
      <c r="C16" s="120" t="s">
        <v>477</v>
      </c>
      <c r="D16" s="120">
        <v>23</v>
      </c>
      <c r="E16" s="124">
        <f t="shared" si="0"/>
        <v>413</v>
      </c>
      <c r="F16" s="117"/>
    </row>
    <row r="17" spans="1:6" ht="15" customHeight="1">
      <c r="A17" s="123" t="s">
        <v>95</v>
      </c>
      <c r="B17" s="117" t="s">
        <v>476</v>
      </c>
      <c r="C17" s="118" t="s">
        <v>477</v>
      </c>
      <c r="D17" s="118">
        <v>24</v>
      </c>
      <c r="E17" s="124">
        <f t="shared" si="0"/>
        <v>436</v>
      </c>
      <c r="F17" s="117"/>
    </row>
    <row r="18" spans="1:6" ht="15" customHeight="1">
      <c r="A18" s="123" t="s">
        <v>122</v>
      </c>
      <c r="B18" s="118" t="s">
        <v>478</v>
      </c>
      <c r="C18" s="118" t="s">
        <v>477</v>
      </c>
      <c r="D18" s="118">
        <v>23</v>
      </c>
      <c r="E18" s="124">
        <f t="shared" si="0"/>
        <v>455</v>
      </c>
    </row>
    <row r="19" spans="1:6" ht="15" customHeight="1">
      <c r="A19" s="125" t="s">
        <v>81</v>
      </c>
      <c r="B19" s="121" t="s">
        <v>84</v>
      </c>
      <c r="C19" s="120" t="s">
        <v>109</v>
      </c>
      <c r="D19" s="120">
        <v>19</v>
      </c>
      <c r="E19" s="124">
        <f t="shared" si="0"/>
        <v>483</v>
      </c>
      <c r="F19" s="117"/>
    </row>
    <row r="20" spans="1:6" ht="15" customHeight="1">
      <c r="A20" s="123" t="s">
        <v>95</v>
      </c>
      <c r="B20" s="118" t="s">
        <v>858</v>
      </c>
      <c r="C20" s="118" t="s">
        <v>109</v>
      </c>
      <c r="D20" s="118">
        <v>28</v>
      </c>
      <c r="E20" s="124">
        <f t="shared" si="0"/>
        <v>508</v>
      </c>
      <c r="F20" s="117"/>
    </row>
    <row r="21" spans="1:6" ht="15" customHeight="1">
      <c r="A21" s="123" t="s">
        <v>126</v>
      </c>
      <c r="B21" s="118" t="s">
        <v>544</v>
      </c>
      <c r="C21" s="118" t="s">
        <v>109</v>
      </c>
      <c r="D21" s="118">
        <v>25</v>
      </c>
      <c r="E21" s="124">
        <f t="shared" si="0"/>
        <v>522</v>
      </c>
    </row>
    <row r="22" spans="1:6" ht="15" customHeight="1">
      <c r="A22" s="123" t="s">
        <v>86</v>
      </c>
      <c r="B22" s="117" t="s">
        <v>91</v>
      </c>
      <c r="C22" s="117" t="s">
        <v>91</v>
      </c>
      <c r="D22" s="118">
        <v>14</v>
      </c>
      <c r="E22" s="124">
        <f t="shared" si="0"/>
        <v>536</v>
      </c>
      <c r="F22" s="116"/>
    </row>
    <row r="23" spans="1:6" ht="15" customHeight="1">
      <c r="A23" s="123" t="s">
        <v>95</v>
      </c>
      <c r="B23" s="118" t="s">
        <v>531</v>
      </c>
      <c r="C23" s="118" t="s">
        <v>91</v>
      </c>
      <c r="D23" s="118">
        <v>14</v>
      </c>
      <c r="E23" s="124">
        <f t="shared" si="0"/>
        <v>621</v>
      </c>
      <c r="F23" s="117"/>
    </row>
    <row r="24" spans="1:6" ht="15" customHeight="1">
      <c r="A24" s="123" t="s">
        <v>86</v>
      </c>
      <c r="B24" s="117" t="s">
        <v>90</v>
      </c>
      <c r="C24" s="118" t="s">
        <v>100</v>
      </c>
      <c r="D24" s="118">
        <v>85</v>
      </c>
      <c r="E24" s="124">
        <f t="shared" si="0"/>
        <v>671</v>
      </c>
      <c r="F24" s="117"/>
    </row>
    <row r="25" spans="1:6" ht="15" customHeight="1">
      <c r="A25" s="123" t="s">
        <v>95</v>
      </c>
      <c r="B25" s="117" t="s">
        <v>100</v>
      </c>
      <c r="C25" s="118" t="s">
        <v>100</v>
      </c>
      <c r="D25" s="118">
        <v>50</v>
      </c>
      <c r="E25" s="124">
        <f t="shared" si="0"/>
        <v>721</v>
      </c>
      <c r="F25" s="117"/>
    </row>
    <row r="26" spans="1:6" ht="15" customHeight="1">
      <c r="A26" s="123" t="s">
        <v>95</v>
      </c>
      <c r="B26" s="117" t="s">
        <v>101</v>
      </c>
      <c r="C26" s="118" t="s">
        <v>100</v>
      </c>
      <c r="D26" s="118">
        <v>50</v>
      </c>
      <c r="E26" s="124">
        <f t="shared" si="0"/>
        <v>726</v>
      </c>
      <c r="F26" s="117"/>
    </row>
    <row r="27" spans="1:6" ht="15" customHeight="1">
      <c r="A27" s="123" t="s">
        <v>95</v>
      </c>
      <c r="B27" s="118" t="s">
        <v>881</v>
      </c>
      <c r="C27" s="118" t="s">
        <v>117</v>
      </c>
      <c r="D27" s="118">
        <v>5</v>
      </c>
      <c r="E27" s="124">
        <f t="shared" si="0"/>
        <v>750</v>
      </c>
    </row>
    <row r="28" spans="1:6">
      <c r="A28" s="125" t="s">
        <v>75</v>
      </c>
      <c r="B28" s="121" t="s">
        <v>76</v>
      </c>
      <c r="C28" s="120" t="s">
        <v>77</v>
      </c>
      <c r="D28" s="120">
        <v>24</v>
      </c>
      <c r="E28" s="124">
        <f t="shared" si="0"/>
        <v>770</v>
      </c>
      <c r="F28" s="74"/>
    </row>
    <row r="29" spans="1:6" ht="15" customHeight="1">
      <c r="A29" s="125" t="s">
        <v>95</v>
      </c>
      <c r="B29" s="120" t="s">
        <v>540</v>
      </c>
      <c r="C29" s="120" t="s">
        <v>77</v>
      </c>
      <c r="D29" s="120">
        <v>20</v>
      </c>
      <c r="E29" s="124">
        <f t="shared" si="0"/>
        <v>835</v>
      </c>
    </row>
    <row r="30" spans="1:6" ht="15" customHeight="1">
      <c r="A30" s="123" t="s">
        <v>95</v>
      </c>
      <c r="B30" s="117" t="s">
        <v>701</v>
      </c>
      <c r="C30" s="118" t="s">
        <v>522</v>
      </c>
      <c r="D30" s="118">
        <v>65</v>
      </c>
      <c r="E30" s="124">
        <f t="shared" si="0"/>
        <v>935</v>
      </c>
      <c r="F30" s="117"/>
    </row>
    <row r="31" spans="1:6" ht="15" customHeight="1">
      <c r="A31" s="123" t="s">
        <v>95</v>
      </c>
      <c r="B31" s="117" t="s">
        <v>203</v>
      </c>
      <c r="C31" s="118" t="s">
        <v>522</v>
      </c>
      <c r="D31" s="118">
        <v>100</v>
      </c>
      <c r="E31" s="124">
        <f t="shared" si="0"/>
        <v>955</v>
      </c>
      <c r="F31" s="117"/>
    </row>
    <row r="32" spans="1:6" ht="15" customHeight="1">
      <c r="A32" s="125" t="s">
        <v>86</v>
      </c>
      <c r="B32" s="121" t="s">
        <v>92</v>
      </c>
      <c r="C32" s="120" t="s">
        <v>521</v>
      </c>
      <c r="D32" s="120">
        <v>20</v>
      </c>
      <c r="E32" s="124">
        <f t="shared" si="0"/>
        <v>984</v>
      </c>
      <c r="F32" s="117"/>
    </row>
    <row r="33" spans="1:6" ht="15.75" customHeight="1">
      <c r="A33" s="123" t="s">
        <v>95</v>
      </c>
      <c r="B33" s="118" t="s">
        <v>537</v>
      </c>
      <c r="C33" s="118" t="s">
        <v>521</v>
      </c>
      <c r="D33" s="118">
        <v>29</v>
      </c>
      <c r="E33" s="124">
        <f t="shared" si="0"/>
        <v>1011</v>
      </c>
    </row>
    <row r="34" spans="1:6" ht="15.75" customHeight="1">
      <c r="A34" s="123" t="s">
        <v>235</v>
      </c>
      <c r="B34" s="119" t="s">
        <v>824</v>
      </c>
      <c r="C34" s="118" t="s">
        <v>521</v>
      </c>
      <c r="D34" s="118">
        <v>27</v>
      </c>
      <c r="E34" s="124">
        <f t="shared" si="0"/>
        <v>1026</v>
      </c>
    </row>
    <row r="35" spans="1:6" ht="15" customHeight="1">
      <c r="A35" s="123" t="s">
        <v>95</v>
      </c>
      <c r="B35" s="118" t="s">
        <v>518</v>
      </c>
      <c r="C35" s="118" t="s">
        <v>79</v>
      </c>
      <c r="D35" s="118">
        <v>15</v>
      </c>
      <c r="E35" s="124">
        <f t="shared" si="0"/>
        <v>1036</v>
      </c>
    </row>
    <row r="36" spans="1:6" ht="15" customHeight="1">
      <c r="A36" s="123" t="s">
        <v>95</v>
      </c>
      <c r="B36" s="118" t="s">
        <v>532</v>
      </c>
      <c r="C36" s="118" t="s">
        <v>79</v>
      </c>
      <c r="D36" s="118">
        <v>10</v>
      </c>
      <c r="E36" s="124">
        <f t="shared" si="0"/>
        <v>1036</v>
      </c>
    </row>
    <row r="37" spans="1:6" ht="15" customHeight="1" thickBot="1">
      <c r="A37" s="126"/>
      <c r="B37" s="129"/>
      <c r="C37" s="127"/>
      <c r="D37" s="127"/>
      <c r="E37" s="130"/>
      <c r="F37" s="117"/>
    </row>
    <row r="38" spans="1:6" ht="15" customHeight="1">
      <c r="A38" s="110"/>
      <c r="D38" s="110"/>
      <c r="E38" s="118"/>
    </row>
    <row r="39" spans="1:6" ht="15" customHeight="1">
      <c r="A39" s="110"/>
      <c r="D39" s="110"/>
      <c r="E39" s="118"/>
    </row>
    <row r="40" spans="1:6" ht="15" customHeight="1">
      <c r="A40" s="110"/>
      <c r="D40" s="110"/>
      <c r="E40" s="118"/>
    </row>
    <row r="41" spans="1:6" ht="15" customHeight="1">
      <c r="A41" s="110"/>
      <c r="D41" s="110"/>
      <c r="E41" s="118"/>
    </row>
    <row r="42" spans="1:6" ht="15" customHeight="1">
      <c r="A42" s="110"/>
      <c r="B42" s="21"/>
      <c r="D42" s="110"/>
      <c r="E42" s="118"/>
      <c r="F42" s="117"/>
    </row>
    <row r="43" spans="1:6" ht="15" customHeight="1">
      <c r="A43" s="110"/>
      <c r="B43" s="21"/>
      <c r="D43" s="110"/>
      <c r="E43" s="118"/>
      <c r="F43" s="117"/>
    </row>
    <row r="44" spans="1:6" ht="15" customHeight="1">
      <c r="A44" s="110"/>
      <c r="D44" s="110"/>
      <c r="E44" s="118"/>
    </row>
    <row r="45" spans="1:6" ht="15" customHeight="1">
      <c r="A45" s="110"/>
      <c r="D45" s="110"/>
      <c r="E45" s="118"/>
    </row>
    <row r="46" spans="1:6" ht="15.75" customHeight="1">
      <c r="A46" s="110"/>
      <c r="D46" s="110"/>
      <c r="E46" s="118"/>
    </row>
    <row r="47" spans="1:6" ht="15.75" customHeight="1">
      <c r="A47" s="110"/>
      <c r="D47" s="110"/>
      <c r="E47" s="118"/>
    </row>
    <row r="48" spans="1:6" ht="15" customHeight="1">
      <c r="A48" s="110"/>
      <c r="B48" s="21"/>
      <c r="D48" s="110"/>
      <c r="E48" s="118"/>
      <c r="F48" s="117"/>
    </row>
    <row r="49" spans="1:6" ht="15" customHeight="1">
      <c r="A49" s="110"/>
      <c r="B49" s="21"/>
      <c r="D49" s="110"/>
      <c r="E49" s="118"/>
      <c r="F49" s="117"/>
    </row>
    <row r="50" spans="1:6" ht="15" customHeight="1">
      <c r="A50" s="110"/>
      <c r="D50" s="110"/>
      <c r="E50" s="118"/>
    </row>
    <row r="51" spans="1:6" ht="15" customHeight="1">
      <c r="A51" s="110"/>
      <c r="D51" s="110"/>
      <c r="E51" s="118"/>
    </row>
    <row r="52" spans="1:6" ht="15">
      <c r="A52" s="110"/>
      <c r="D52" s="110"/>
      <c r="E52" s="118"/>
    </row>
    <row r="53" spans="1:6" ht="15">
      <c r="A53" s="110"/>
      <c r="D53" s="110"/>
      <c r="E53" s="118"/>
    </row>
    <row r="54" spans="1:6" ht="15.75" customHeight="1">
      <c r="A54" s="110"/>
      <c r="B54" s="70"/>
      <c r="D54" s="94"/>
      <c r="E54" s="94"/>
      <c r="F54" s="119"/>
    </row>
    <row r="55" spans="1:6" ht="15">
      <c r="A55" s="110"/>
      <c r="B55" s="111"/>
      <c r="C55" s="111"/>
      <c r="D55" s="111"/>
      <c r="E55" s="118"/>
    </row>
    <row r="56" spans="1:6" ht="15" customHeight="1">
      <c r="A56" s="112"/>
      <c r="D56" s="110"/>
      <c r="E56" s="118"/>
    </row>
    <row r="57" spans="1:6" ht="15" customHeight="1">
      <c r="A57" s="110"/>
      <c r="D57" s="110"/>
      <c r="E57" s="118"/>
    </row>
    <row r="58" spans="1:6" ht="15" customHeight="1">
      <c r="A58" s="110"/>
      <c r="D58" s="110"/>
      <c r="E58" s="118"/>
      <c r="F58" s="117"/>
    </row>
    <row r="59" spans="1:6" ht="15" customHeight="1">
      <c r="A59" s="110"/>
      <c r="D59" s="94"/>
      <c r="E59" s="94"/>
    </row>
    <row r="60" spans="1:6" ht="15" customHeight="1">
      <c r="A60" s="110"/>
      <c r="D60" s="110"/>
      <c r="E60" s="118"/>
    </row>
    <row r="61" spans="1:6" ht="15.75" customHeight="1">
      <c r="A61" s="110"/>
      <c r="D61" s="110"/>
      <c r="E61" s="118"/>
      <c r="F61" s="117"/>
    </row>
    <row r="62" spans="1:6" ht="15" customHeight="1">
      <c r="A62" s="110"/>
      <c r="D62" s="110"/>
      <c r="E62" s="118"/>
    </row>
    <row r="63" spans="1:6" ht="15" customHeight="1">
      <c r="A63" s="110"/>
      <c r="D63" s="94"/>
      <c r="E63" s="94"/>
    </row>
    <row r="64" spans="1:6" ht="15" customHeight="1">
      <c r="A64" s="110"/>
      <c r="B64" s="111"/>
      <c r="C64" s="111"/>
      <c r="D64" s="111"/>
      <c r="E64" s="118"/>
    </row>
    <row r="65" spans="1:6" ht="15" customHeight="1">
      <c r="A65" s="112"/>
      <c r="B65" s="54"/>
      <c r="C65" s="112"/>
      <c r="D65" s="54"/>
      <c r="E65" s="119"/>
      <c r="F65" s="119"/>
    </row>
    <row r="66" spans="1:6" ht="15" customHeight="1">
      <c r="A66" s="110"/>
      <c r="D66" s="110"/>
      <c r="E66" s="118"/>
      <c r="F66" s="117"/>
    </row>
    <row r="67" spans="1:6" ht="15" customHeight="1">
      <c r="A67" s="110"/>
      <c r="D67" s="110"/>
      <c r="E67" s="118"/>
    </row>
    <row r="68" spans="1:6" ht="15" customHeight="1">
      <c r="A68" s="110"/>
      <c r="D68" s="110"/>
      <c r="E68" s="118"/>
    </row>
    <row r="69" spans="1:6" ht="15" customHeight="1">
      <c r="A69" s="110"/>
      <c r="D69" s="110"/>
      <c r="E69" s="118"/>
    </row>
    <row r="70" spans="1:6" ht="15" customHeight="1">
      <c r="A70" s="110"/>
      <c r="D70" s="110"/>
      <c r="E70" s="118"/>
    </row>
    <row r="71" spans="1:6" ht="15" customHeight="1">
      <c r="A71" s="110"/>
      <c r="D71" s="110"/>
      <c r="E71" s="118"/>
    </row>
    <row r="72" spans="1:6" ht="15" customHeight="1">
      <c r="A72" s="110"/>
      <c r="D72" s="110"/>
      <c r="E72" s="118"/>
    </row>
    <row r="73" spans="1:6" ht="15" customHeight="1">
      <c r="A73" s="110"/>
      <c r="D73" s="110"/>
      <c r="E73" s="118"/>
    </row>
    <row r="74" spans="1:6" ht="15" customHeight="1">
      <c r="A74" s="110"/>
      <c r="D74" s="110"/>
      <c r="E74" s="118"/>
    </row>
    <row r="75" spans="1:6" ht="15" customHeight="1">
      <c r="A75" s="110"/>
      <c r="D75" s="110"/>
      <c r="E75" s="118"/>
    </row>
    <row r="76" spans="1:6" ht="15" customHeight="1">
      <c r="A76" s="110"/>
      <c r="D76" s="110"/>
      <c r="E76" s="118"/>
    </row>
    <row r="77" spans="1:6" ht="15" customHeight="1">
      <c r="A77" s="110"/>
      <c r="D77" s="110"/>
      <c r="E77" s="118"/>
    </row>
    <row r="78" spans="1:6" ht="15" customHeight="1">
      <c r="A78" s="110"/>
      <c r="D78" s="110"/>
      <c r="E78" s="118"/>
    </row>
    <row r="79" spans="1:6" ht="15" customHeight="1">
      <c r="A79" s="110"/>
      <c r="D79" s="110"/>
      <c r="E79" s="118"/>
    </row>
    <row r="80" spans="1:6" ht="15">
      <c r="A80" s="110"/>
      <c r="D80" s="110"/>
      <c r="E80" s="118"/>
      <c r="F80" s="117"/>
    </row>
    <row r="81" spans="1:6" ht="15">
      <c r="A81" s="110"/>
      <c r="D81" s="110"/>
      <c r="E81" s="118"/>
    </row>
    <row r="82" spans="1:6" ht="15" customHeight="1">
      <c r="A82" s="110"/>
      <c r="D82" s="110"/>
      <c r="E82" s="118"/>
    </row>
    <row r="83" spans="1:6" ht="15" customHeight="1">
      <c r="A83" s="110"/>
      <c r="D83" s="110"/>
      <c r="E83" s="118"/>
    </row>
    <row r="84" spans="1:6" ht="15" customHeight="1">
      <c r="A84" s="110"/>
      <c r="D84" s="94"/>
      <c r="E84" s="94"/>
    </row>
    <row r="85" spans="1:6" ht="15" customHeight="1">
      <c r="A85" s="110"/>
      <c r="B85" s="70"/>
      <c r="D85" s="94"/>
      <c r="E85" s="94"/>
      <c r="F85" s="119"/>
    </row>
    <row r="86" spans="1:6" ht="15" customHeight="1">
      <c r="A86" s="110"/>
      <c r="B86" s="111"/>
      <c r="C86" s="111"/>
      <c r="D86" s="111"/>
      <c r="E86" s="118"/>
    </row>
    <row r="87" spans="1:6" ht="15" customHeight="1">
      <c r="A87" s="112"/>
      <c r="D87" s="110"/>
      <c r="E87" s="118"/>
    </row>
    <row r="88" spans="1:6" ht="15" customHeight="1">
      <c r="A88" s="110"/>
      <c r="D88" s="110"/>
      <c r="E88" s="118"/>
    </row>
    <row r="89" spans="1:6" ht="15" customHeight="1">
      <c r="A89" s="110"/>
      <c r="D89" s="110"/>
      <c r="E89" s="118"/>
    </row>
    <row r="90" spans="1:6" ht="15" customHeight="1">
      <c r="A90" s="110"/>
      <c r="D90" s="110"/>
      <c r="E90" s="118"/>
    </row>
    <row r="91" spans="1:6" ht="15" customHeight="1">
      <c r="A91" s="110"/>
      <c r="D91" s="110"/>
      <c r="E91" s="118"/>
    </row>
    <row r="92" spans="1:6" ht="15" customHeight="1">
      <c r="A92" s="110"/>
      <c r="D92" s="110"/>
      <c r="E92" s="118"/>
    </row>
    <row r="93" spans="1:6" ht="15" customHeight="1">
      <c r="A93" s="110"/>
      <c r="D93" s="110"/>
      <c r="E93" s="118"/>
    </row>
    <row r="94" spans="1:6" ht="15" customHeight="1">
      <c r="A94" s="110"/>
      <c r="D94" s="94"/>
      <c r="E94" s="94"/>
    </row>
    <row r="95" spans="1:6" ht="15" customHeight="1">
      <c r="A95" s="110"/>
      <c r="B95" s="70"/>
      <c r="D95" s="110"/>
      <c r="E95" s="118"/>
      <c r="F95" s="119"/>
    </row>
    <row r="96" spans="1:6" ht="15" customHeight="1">
      <c r="A96" s="110"/>
      <c r="D96" s="110"/>
      <c r="E96" s="118"/>
    </row>
    <row r="97" spans="1:6" ht="15" customHeight="1">
      <c r="A97" s="110"/>
      <c r="D97" s="110"/>
      <c r="E97" s="118"/>
    </row>
    <row r="98" spans="1:6" ht="15" customHeight="1">
      <c r="A98" s="110"/>
      <c r="D98" s="110"/>
      <c r="E98" s="118"/>
    </row>
    <row r="99" spans="1:6" ht="15" customHeight="1">
      <c r="A99" s="110"/>
      <c r="D99" s="110"/>
      <c r="E99" s="118"/>
    </row>
    <row r="100" spans="1:6" ht="15" customHeight="1">
      <c r="A100" s="110"/>
      <c r="D100" s="110"/>
      <c r="E100" s="118"/>
    </row>
    <row r="101" spans="1:6" ht="15" customHeight="1">
      <c r="A101" s="110"/>
      <c r="D101" s="110"/>
      <c r="E101" s="118"/>
    </row>
    <row r="102" spans="1:6" ht="15" customHeight="1">
      <c r="A102" s="110"/>
      <c r="D102" s="110"/>
      <c r="E102" s="118"/>
    </row>
    <row r="103" spans="1:6" ht="15" customHeight="1">
      <c r="A103" s="110"/>
      <c r="D103" s="110"/>
      <c r="E103" s="118"/>
    </row>
    <row r="104" spans="1:6" ht="15" customHeight="1">
      <c r="A104" s="110"/>
      <c r="D104" s="110"/>
      <c r="E104" s="118"/>
    </row>
    <row r="105" spans="1:6" ht="15" customHeight="1">
      <c r="A105" s="110"/>
      <c r="D105" s="110"/>
      <c r="E105" s="118"/>
    </row>
    <row r="106" spans="1:6" ht="15" customHeight="1">
      <c r="A106" s="110"/>
      <c r="D106" s="110"/>
      <c r="E106" s="118"/>
    </row>
    <row r="107" spans="1:6" ht="15">
      <c r="A107" s="110"/>
      <c r="D107" s="110"/>
      <c r="E107" s="118"/>
      <c r="F107" s="117"/>
    </row>
    <row r="108" spans="1:6" ht="15">
      <c r="A108" s="110"/>
      <c r="D108" s="110"/>
      <c r="E108" s="118"/>
      <c r="F108" s="117"/>
    </row>
    <row r="109" spans="1:6" ht="15">
      <c r="A109" s="110"/>
      <c r="D109" s="110"/>
      <c r="E109" s="118"/>
      <c r="F109" s="117"/>
    </row>
    <row r="110" spans="1:6" ht="15">
      <c r="A110" s="110"/>
      <c r="D110" s="110"/>
      <c r="E110" s="118"/>
    </row>
    <row r="111" spans="1:6" ht="15" customHeight="1">
      <c r="A111" s="110"/>
      <c r="D111" s="110"/>
      <c r="E111" s="118"/>
    </row>
    <row r="112" spans="1:6" ht="15">
      <c r="A112" s="110"/>
      <c r="D112" s="110"/>
      <c r="E112" s="118"/>
    </row>
    <row r="113" spans="1:5" ht="15">
      <c r="A113" s="110"/>
      <c r="D113" s="110"/>
      <c r="E113" s="118"/>
    </row>
    <row r="114" spans="1:5" ht="15">
      <c r="A114" s="110"/>
      <c r="D114" s="110"/>
      <c r="E114" s="118"/>
    </row>
    <row r="115" spans="1:5" ht="15" customHeight="1">
      <c r="A115" s="110"/>
      <c r="D115" s="110"/>
      <c r="E115" s="118"/>
    </row>
    <row r="116" spans="1:5" ht="15" customHeight="1">
      <c r="A116" s="110"/>
      <c r="D116" s="110"/>
      <c r="E116" s="118"/>
    </row>
    <row r="117" spans="1:5" ht="15" customHeight="1">
      <c r="A117" s="110"/>
      <c r="D117" s="110"/>
      <c r="E117" s="118"/>
    </row>
    <row r="118" spans="1:5" ht="15" customHeight="1">
      <c r="A118" s="110"/>
      <c r="D118" s="94"/>
      <c r="E118" s="94"/>
    </row>
    <row r="119" spans="1:5" ht="15" customHeight="1">
      <c r="A119" s="110"/>
      <c r="D119" s="94"/>
      <c r="E119" s="94"/>
    </row>
    <row r="120" spans="1:5" ht="15" customHeight="1">
      <c r="A120" s="110"/>
      <c r="D120" s="94"/>
      <c r="E120" s="94"/>
    </row>
    <row r="121" spans="1:5" ht="15" customHeight="1">
      <c r="A121" s="110"/>
      <c r="D121" s="110"/>
      <c r="E121" s="118"/>
    </row>
    <row r="122" spans="1:5" ht="15" customHeight="1">
      <c r="A122" s="110"/>
      <c r="D122" s="110"/>
      <c r="E122" s="118"/>
    </row>
    <row r="123" spans="1:5" ht="15" customHeight="1">
      <c r="A123" s="110"/>
      <c r="B123" s="111"/>
      <c r="C123" s="111"/>
      <c r="D123" s="95"/>
      <c r="E123" s="94"/>
    </row>
    <row r="124" spans="1:5" ht="15" customHeight="1">
      <c r="A124" s="112"/>
      <c r="D124" s="110"/>
      <c r="E124" s="118"/>
    </row>
    <row r="125" spans="1:5" ht="15" customHeight="1">
      <c r="A125" s="110"/>
      <c r="D125" s="110"/>
      <c r="E125" s="118"/>
    </row>
    <row r="126" spans="1:5" ht="15" customHeight="1">
      <c r="A126" s="110"/>
      <c r="D126" s="110"/>
      <c r="E126" s="118"/>
    </row>
    <row r="127" spans="1:5" ht="15" customHeight="1">
      <c r="A127" s="110"/>
      <c r="D127" s="110"/>
      <c r="E127" s="118"/>
    </row>
    <row r="128" spans="1:5" ht="15" customHeight="1">
      <c r="A128" s="110"/>
      <c r="D128" s="110"/>
      <c r="E128" s="118"/>
    </row>
    <row r="129" spans="1:6" ht="15" customHeight="1">
      <c r="A129" s="110"/>
      <c r="D129" s="110"/>
      <c r="E129" s="118"/>
    </row>
    <row r="130" spans="1:6" ht="15" customHeight="1">
      <c r="A130" s="110"/>
      <c r="D130" s="110"/>
      <c r="E130" s="118"/>
    </row>
    <row r="131" spans="1:6" ht="15" customHeight="1">
      <c r="A131" s="110"/>
      <c r="D131" s="110"/>
      <c r="E131" s="118"/>
    </row>
    <row r="132" spans="1:6" ht="15" customHeight="1">
      <c r="A132" s="110"/>
      <c r="B132" s="70"/>
      <c r="D132" s="110"/>
      <c r="E132" s="118"/>
      <c r="F132" s="119"/>
    </row>
    <row r="133" spans="1:6" ht="15" customHeight="1">
      <c r="A133" s="110"/>
      <c r="D133" s="110"/>
      <c r="E133" s="118"/>
    </row>
    <row r="134" spans="1:6" ht="15" customHeight="1">
      <c r="A134" s="110"/>
      <c r="D134" s="110"/>
      <c r="E134" s="118"/>
    </row>
    <row r="135" spans="1:6" ht="15" customHeight="1">
      <c r="A135" s="110"/>
      <c r="D135" s="110"/>
      <c r="E135" s="118"/>
    </row>
    <row r="136" spans="1:6" ht="15" customHeight="1">
      <c r="A136" s="110"/>
      <c r="D136" s="94"/>
      <c r="E136" s="94"/>
    </row>
    <row r="137" spans="1:6" ht="15" customHeight="1">
      <c r="A137" s="110"/>
      <c r="B137" s="72"/>
      <c r="C137" s="111"/>
      <c r="D137" s="111"/>
      <c r="E137" s="118"/>
      <c r="F137" s="119"/>
    </row>
    <row r="138" spans="1:6" ht="15" customHeight="1">
      <c r="A138" s="112"/>
      <c r="B138" s="112"/>
      <c r="C138" s="112"/>
      <c r="D138" s="96"/>
      <c r="E138" s="94"/>
    </row>
    <row r="139" spans="1:6" ht="15" customHeight="1">
      <c r="A139" s="110"/>
      <c r="D139" s="110"/>
      <c r="E139" s="118"/>
    </row>
    <row r="140" spans="1:6" ht="15" customHeight="1">
      <c r="A140" s="110"/>
      <c r="D140" s="110"/>
      <c r="E140" s="118"/>
    </row>
    <row r="141" spans="1:6" ht="15" customHeight="1">
      <c r="A141" s="110"/>
      <c r="D141" s="110"/>
      <c r="E141" s="118"/>
    </row>
    <row r="142" spans="1:6" ht="15" customHeight="1">
      <c r="A142" s="110"/>
      <c r="D142" s="110"/>
      <c r="E142" s="118"/>
    </row>
    <row r="143" spans="1:6" ht="15" customHeight="1">
      <c r="A143" s="110"/>
      <c r="B143" s="70"/>
      <c r="D143" s="94"/>
      <c r="E143" s="94"/>
      <c r="F143" s="119"/>
    </row>
    <row r="144" spans="1:6" ht="15" customHeight="1">
      <c r="A144" s="110"/>
      <c r="D144" s="110"/>
      <c r="E144" s="118"/>
    </row>
    <row r="145" spans="1:6" ht="15">
      <c r="A145" s="110"/>
      <c r="D145" s="110"/>
      <c r="E145" s="118"/>
    </row>
    <row r="146" spans="1:6" ht="15" customHeight="1">
      <c r="A146" s="110"/>
      <c r="D146" s="110"/>
      <c r="E146" s="118"/>
    </row>
    <row r="147" spans="1:6" ht="15" customHeight="1">
      <c r="A147" s="110"/>
      <c r="D147" s="110"/>
      <c r="E147" s="118"/>
    </row>
    <row r="148" spans="1:6" ht="15" customHeight="1">
      <c r="A148" s="110"/>
      <c r="D148" s="110"/>
      <c r="E148" s="118"/>
    </row>
    <row r="149" spans="1:6" ht="15" customHeight="1">
      <c r="A149" s="110"/>
      <c r="D149" s="110"/>
      <c r="E149" s="118"/>
    </row>
    <row r="150" spans="1:6" ht="15" customHeight="1">
      <c r="A150" s="110"/>
      <c r="D150" s="110"/>
      <c r="E150" s="118"/>
    </row>
    <row r="151" spans="1:6" ht="15" customHeight="1">
      <c r="A151" s="110"/>
      <c r="D151" s="110"/>
      <c r="E151" s="118"/>
    </row>
    <row r="152" spans="1:6" ht="15" customHeight="1">
      <c r="A152" s="110"/>
      <c r="D152" s="110"/>
      <c r="E152" s="118"/>
    </row>
    <row r="153" spans="1:6" ht="15" customHeight="1">
      <c r="A153" s="110"/>
      <c r="D153" s="110"/>
      <c r="E153" s="118"/>
    </row>
    <row r="154" spans="1:6" ht="15" customHeight="1">
      <c r="A154" s="110"/>
      <c r="D154" s="110"/>
      <c r="E154" s="118"/>
    </row>
    <row r="155" spans="1:6" ht="15" customHeight="1">
      <c r="A155" s="110"/>
      <c r="D155" s="110"/>
      <c r="E155" s="118"/>
    </row>
    <row r="156" spans="1:6" ht="15" customHeight="1">
      <c r="A156" s="110"/>
      <c r="B156" s="70"/>
      <c r="D156" s="110"/>
      <c r="E156" s="118"/>
      <c r="F156" s="119"/>
    </row>
    <row r="157" spans="1:6" ht="15" customHeight="1">
      <c r="A157" s="110"/>
      <c r="B157" s="70"/>
      <c r="D157" s="110"/>
      <c r="E157" s="118"/>
      <c r="F157" s="119"/>
    </row>
    <row r="158" spans="1:6" ht="15" customHeight="1">
      <c r="A158" s="110"/>
      <c r="B158" s="111"/>
      <c r="C158" s="111"/>
      <c r="D158" s="111"/>
      <c r="E158" s="118"/>
    </row>
    <row r="159" spans="1:6" ht="15" customHeight="1">
      <c r="A159" s="112"/>
      <c r="B159" s="112"/>
      <c r="C159" s="112"/>
      <c r="D159" s="96"/>
      <c r="E159" s="94"/>
    </row>
    <row r="160" spans="1:6" ht="15" customHeight="1">
      <c r="A160" s="110"/>
      <c r="D160" s="110"/>
      <c r="E160" s="118"/>
    </row>
    <row r="161" spans="1:6" ht="15" customHeight="1">
      <c r="A161" s="110"/>
      <c r="D161" s="110"/>
      <c r="E161" s="118"/>
    </row>
    <row r="162" spans="1:6" ht="15" customHeight="1">
      <c r="A162" s="110"/>
      <c r="D162" s="110"/>
      <c r="E162" s="118"/>
    </row>
    <row r="163" spans="1:6" ht="15" customHeight="1">
      <c r="A163" s="110"/>
      <c r="D163" s="110"/>
      <c r="E163" s="118"/>
    </row>
    <row r="164" spans="1:6" ht="15" customHeight="1">
      <c r="A164" s="110"/>
      <c r="D164" s="110"/>
      <c r="E164" s="118"/>
    </row>
    <row r="165" spans="1:6" ht="15" customHeight="1">
      <c r="A165" s="110"/>
      <c r="D165" s="110"/>
      <c r="E165" s="118"/>
    </row>
    <row r="166" spans="1:6" ht="15" customHeight="1">
      <c r="A166" s="110"/>
      <c r="B166" s="111"/>
      <c r="C166" s="111"/>
      <c r="D166" s="111"/>
      <c r="E166" s="118"/>
    </row>
    <row r="167" spans="1:6" ht="15" customHeight="1">
      <c r="A167" s="112"/>
      <c r="B167" s="112"/>
      <c r="C167" s="112"/>
      <c r="D167" s="73"/>
    </row>
    <row r="168" spans="1:6" ht="15" customHeight="1">
      <c r="A168" s="110"/>
    </row>
    <row r="169" spans="1:6" ht="15" customHeight="1">
      <c r="A169" s="110"/>
      <c r="B169" s="70"/>
      <c r="F169" s="119"/>
    </row>
    <row r="170" spans="1:6" ht="15" customHeight="1">
      <c r="A170" s="110"/>
    </row>
    <row r="171" spans="1:6" ht="15" customHeight="1">
      <c r="A171" s="110"/>
      <c r="B171" s="111"/>
      <c r="C171" s="111"/>
      <c r="D171" s="111"/>
      <c r="E171" s="118"/>
    </row>
    <row r="172" spans="1:6">
      <c r="A172" s="112"/>
    </row>
    <row r="173" spans="1:6" ht="15" customHeight="1">
      <c r="A173" s="112"/>
      <c r="B173" s="112"/>
      <c r="C173" s="112"/>
      <c r="D173" s="73"/>
    </row>
    <row r="174" spans="1:6" ht="15" customHeight="1">
      <c r="A174" s="111"/>
    </row>
    <row r="175" spans="1:6" ht="15" customHeight="1">
      <c r="A175" s="110"/>
      <c r="B175" s="112"/>
      <c r="C175" s="112"/>
      <c r="D175" s="73"/>
    </row>
    <row r="176" spans="1:6" ht="15" customHeight="1">
      <c r="A176" s="110"/>
    </row>
    <row r="177" spans="1:4" ht="15" customHeight="1">
      <c r="A177" s="110"/>
    </row>
    <row r="178" spans="1:4" ht="15" customHeight="1">
      <c r="A178" s="111"/>
      <c r="B178" s="111"/>
      <c r="C178" s="111"/>
      <c r="D178" s="75"/>
    </row>
    <row r="179" spans="1:4">
      <c r="A179" s="110"/>
    </row>
    <row r="180" spans="1:4">
      <c r="A180" s="110"/>
    </row>
    <row r="181" spans="1:4">
      <c r="A181" s="110"/>
    </row>
    <row r="182" spans="1:4">
      <c r="A182" s="110"/>
    </row>
  </sheetData>
  <autoFilter ref="A1:F182">
    <sortState ref="A2:F182">
      <sortCondition ref="C1:C18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1"/>
  <sheetViews>
    <sheetView tabSelected="1" topLeftCell="A147" zoomScale="70" zoomScaleNormal="70" workbookViewId="0">
      <selection activeCell="A2" sqref="A2:B177"/>
    </sheetView>
  </sheetViews>
  <sheetFormatPr defaultColWidth="9.140625" defaultRowHeight="15.75"/>
  <cols>
    <col min="1" max="1" width="7.5703125" style="74" bestFit="1" customWidth="1"/>
    <col min="2" max="2" width="36.5703125" style="77" bestFit="1" customWidth="1"/>
    <col min="3" max="3" width="19.42578125" style="77" bestFit="1" customWidth="1"/>
    <col min="4" max="4" width="7.7109375" style="74" bestFit="1" customWidth="1"/>
    <col min="5" max="5" width="53.85546875" style="77" bestFit="1" customWidth="1"/>
    <col min="6" max="8" width="9.140625" style="77"/>
    <col min="9" max="9" width="20.28515625" style="77" bestFit="1" customWidth="1"/>
    <col min="10" max="10" width="5.140625" style="77" bestFit="1" customWidth="1"/>
    <col min="11" max="16384" width="9.140625" style="77"/>
  </cols>
  <sheetData>
    <row r="1" spans="1:5" s="74" customFormat="1" ht="16.5" thickBot="1">
      <c r="A1" s="76" t="s">
        <v>2</v>
      </c>
      <c r="B1" s="76" t="s">
        <v>73</v>
      </c>
      <c r="C1" s="76" t="s">
        <v>0</v>
      </c>
      <c r="D1" s="76" t="s">
        <v>103</v>
      </c>
      <c r="E1" s="76" t="s">
        <v>860</v>
      </c>
    </row>
    <row r="2" spans="1:5" s="106" customFormat="1" ht="15">
      <c r="A2" s="103" t="s">
        <v>75</v>
      </c>
      <c r="B2" s="104" t="s">
        <v>76</v>
      </c>
      <c r="C2" s="103" t="s">
        <v>77</v>
      </c>
      <c r="D2" s="103">
        <v>24</v>
      </c>
      <c r="E2" s="105"/>
    </row>
    <row r="3" spans="1:5" ht="15" customHeight="1">
      <c r="A3" s="77" t="s">
        <v>75</v>
      </c>
      <c r="B3" s="21" t="s">
        <v>80</v>
      </c>
      <c r="C3" s="77" t="s">
        <v>519</v>
      </c>
      <c r="D3" s="77">
        <v>10</v>
      </c>
      <c r="E3" s="21" t="s">
        <v>877</v>
      </c>
    </row>
    <row r="4" spans="1:5" ht="15" customHeight="1">
      <c r="A4" s="77" t="s">
        <v>75</v>
      </c>
      <c r="B4" s="92" t="s">
        <v>78</v>
      </c>
      <c r="C4" s="78" t="s">
        <v>79</v>
      </c>
      <c r="D4" s="78">
        <v>12</v>
      </c>
      <c r="E4" s="21"/>
    </row>
    <row r="5" spans="1:5" ht="15">
      <c r="A5" s="79" t="s">
        <v>81</v>
      </c>
      <c r="B5" s="101" t="s">
        <v>82</v>
      </c>
      <c r="C5" s="79" t="s">
        <v>82</v>
      </c>
      <c r="D5" s="79">
        <v>16</v>
      </c>
      <c r="E5" s="101"/>
    </row>
    <row r="6" spans="1:5" ht="15" customHeight="1">
      <c r="A6" s="77" t="s">
        <v>81</v>
      </c>
      <c r="B6" s="21" t="s">
        <v>83</v>
      </c>
      <c r="C6" s="77" t="s">
        <v>520</v>
      </c>
      <c r="D6" s="77">
        <v>45</v>
      </c>
      <c r="E6" s="21"/>
    </row>
    <row r="7" spans="1:5" s="106" customFormat="1" ht="15">
      <c r="A7" s="106" t="s">
        <v>81</v>
      </c>
      <c r="B7" s="107" t="s">
        <v>474</v>
      </c>
      <c r="C7" s="106" t="s">
        <v>477</v>
      </c>
      <c r="D7" s="106">
        <v>24</v>
      </c>
      <c r="E7" s="107"/>
    </row>
    <row r="8" spans="1:5" s="106" customFormat="1" ht="15.75" customHeight="1">
      <c r="A8" s="106" t="s">
        <v>81</v>
      </c>
      <c r="B8" s="108" t="s">
        <v>84</v>
      </c>
      <c r="C8" s="109" t="s">
        <v>109</v>
      </c>
      <c r="D8" s="106">
        <v>19</v>
      </c>
      <c r="E8" s="108"/>
    </row>
    <row r="9" spans="1:5" ht="15" customHeight="1">
      <c r="A9" s="79" t="s">
        <v>86</v>
      </c>
      <c r="B9" s="93" t="s">
        <v>85</v>
      </c>
      <c r="C9" s="79" t="s">
        <v>82</v>
      </c>
      <c r="D9" s="79">
        <v>19</v>
      </c>
      <c r="E9" s="93" t="s">
        <v>863</v>
      </c>
    </row>
    <row r="10" spans="1:5" ht="15.75" customHeight="1">
      <c r="A10" s="77" t="s">
        <v>86</v>
      </c>
      <c r="B10" s="21" t="s">
        <v>87</v>
      </c>
      <c r="C10" s="77" t="s">
        <v>4</v>
      </c>
      <c r="D10" s="77">
        <v>20</v>
      </c>
      <c r="E10" s="21" t="s">
        <v>862</v>
      </c>
    </row>
    <row r="11" spans="1:5" ht="15" customHeight="1">
      <c r="A11" s="77" t="s">
        <v>86</v>
      </c>
      <c r="B11" s="21" t="s">
        <v>88</v>
      </c>
      <c r="C11" s="77" t="s">
        <v>136</v>
      </c>
      <c r="D11" s="77"/>
      <c r="E11" s="21"/>
    </row>
    <row r="12" spans="1:5" s="106" customFormat="1" ht="15" customHeight="1">
      <c r="A12" s="106" t="s">
        <v>86</v>
      </c>
      <c r="B12" s="107" t="s">
        <v>475</v>
      </c>
      <c r="C12" s="106" t="s">
        <v>477</v>
      </c>
      <c r="D12" s="106">
        <v>23</v>
      </c>
      <c r="E12" s="107"/>
    </row>
    <row r="13" spans="1:5" ht="15" customHeight="1">
      <c r="A13" s="77" t="s">
        <v>86</v>
      </c>
      <c r="B13" s="21" t="s">
        <v>89</v>
      </c>
      <c r="C13" s="77" t="s">
        <v>109</v>
      </c>
      <c r="D13" s="77"/>
      <c r="E13" s="21"/>
    </row>
    <row r="14" spans="1:5" ht="15" customHeight="1">
      <c r="A14" s="77" t="s">
        <v>86</v>
      </c>
      <c r="B14" s="21" t="s">
        <v>91</v>
      </c>
      <c r="C14" s="21" t="s">
        <v>91</v>
      </c>
      <c r="D14" s="77">
        <v>14</v>
      </c>
      <c r="E14" s="21"/>
    </row>
    <row r="15" spans="1:5" ht="15" customHeight="1">
      <c r="A15" s="77" t="s">
        <v>86</v>
      </c>
      <c r="B15" s="21" t="s">
        <v>90</v>
      </c>
      <c r="C15" s="77" t="s">
        <v>100</v>
      </c>
      <c r="D15" s="77">
        <v>85</v>
      </c>
      <c r="E15" s="21"/>
    </row>
    <row r="16" spans="1:5" ht="15" customHeight="1">
      <c r="A16" s="77" t="s">
        <v>86</v>
      </c>
      <c r="B16" s="21" t="s">
        <v>94</v>
      </c>
      <c r="C16" s="77" t="s">
        <v>100</v>
      </c>
      <c r="D16" s="77"/>
      <c r="E16" s="21"/>
    </row>
    <row r="17" spans="1:5" s="106" customFormat="1" ht="15" customHeight="1">
      <c r="A17" s="106" t="s">
        <v>86</v>
      </c>
      <c r="B17" s="107" t="s">
        <v>92</v>
      </c>
      <c r="C17" s="106" t="s">
        <v>521</v>
      </c>
      <c r="D17" s="106">
        <v>20</v>
      </c>
      <c r="E17" s="107"/>
    </row>
    <row r="18" spans="1:5" s="106" customFormat="1" ht="15" customHeight="1">
      <c r="A18" s="106" t="s">
        <v>96</v>
      </c>
      <c r="B18" s="107" t="s">
        <v>97</v>
      </c>
      <c r="C18" s="106" t="s">
        <v>520</v>
      </c>
      <c r="D18" s="106">
        <v>31</v>
      </c>
      <c r="E18" s="107"/>
    </row>
    <row r="19" spans="1:5" s="106" customFormat="1" ht="15" customHeight="1">
      <c r="A19" s="106" t="s">
        <v>96</v>
      </c>
      <c r="B19" s="107" t="s">
        <v>880</v>
      </c>
      <c r="C19" s="106" t="s">
        <v>520</v>
      </c>
      <c r="D19" s="106">
        <v>30</v>
      </c>
      <c r="E19" s="107"/>
    </row>
    <row r="20" spans="1:5" ht="15" customHeight="1">
      <c r="A20" s="77" t="s">
        <v>96</v>
      </c>
      <c r="B20" s="21" t="s">
        <v>98</v>
      </c>
      <c r="C20" s="77" t="s">
        <v>520</v>
      </c>
      <c r="D20" s="77">
        <v>27</v>
      </c>
      <c r="E20" s="21"/>
    </row>
    <row r="21" spans="1:5" ht="15" customHeight="1">
      <c r="A21" s="77" t="s">
        <v>96</v>
      </c>
      <c r="B21" s="21" t="s">
        <v>99</v>
      </c>
      <c r="C21" s="77" t="s">
        <v>520</v>
      </c>
      <c r="D21" s="77">
        <v>28</v>
      </c>
      <c r="E21" s="21"/>
    </row>
    <row r="22" spans="1:5" s="110" customFormat="1" ht="15" customHeight="1">
      <c r="A22" s="110" t="s">
        <v>96</v>
      </c>
      <c r="B22" s="21" t="s">
        <v>79</v>
      </c>
      <c r="C22" s="110" t="s">
        <v>79</v>
      </c>
      <c r="E22" s="21"/>
    </row>
    <row r="23" spans="1:5" s="102" customFormat="1" ht="15" customHeight="1">
      <c r="A23" s="102" t="s">
        <v>95</v>
      </c>
      <c r="B23" s="102" t="s">
        <v>527</v>
      </c>
      <c r="C23" s="102" t="s">
        <v>110</v>
      </c>
      <c r="D23" s="102">
        <v>10</v>
      </c>
    </row>
    <row r="24" spans="1:5" ht="15" customHeight="1">
      <c r="A24" s="77" t="s">
        <v>95</v>
      </c>
      <c r="B24" s="77" t="s">
        <v>523</v>
      </c>
      <c r="C24" s="77" t="s">
        <v>520</v>
      </c>
      <c r="D24" s="77">
        <v>28</v>
      </c>
      <c r="E24" s="21"/>
    </row>
    <row r="25" spans="1:5" ht="15" customHeight="1">
      <c r="A25" s="77" t="s">
        <v>95</v>
      </c>
      <c r="B25" s="77" t="s">
        <v>871</v>
      </c>
      <c r="C25" s="77" t="s">
        <v>520</v>
      </c>
      <c r="D25" s="77"/>
      <c r="E25" s="21"/>
    </row>
    <row r="26" spans="1:5" ht="15">
      <c r="A26" s="77" t="s">
        <v>95</v>
      </c>
      <c r="B26" s="77" t="s">
        <v>528</v>
      </c>
      <c r="C26" s="77" t="s">
        <v>4</v>
      </c>
      <c r="D26" s="77"/>
      <c r="E26" s="77" t="s">
        <v>878</v>
      </c>
    </row>
    <row r="27" spans="1:5" ht="15" customHeight="1">
      <c r="A27" s="77" t="s">
        <v>95</v>
      </c>
      <c r="B27" s="77" t="s">
        <v>533</v>
      </c>
      <c r="C27" s="77" t="s">
        <v>106</v>
      </c>
      <c r="D27" s="77"/>
    </row>
    <row r="28" spans="1:5" ht="15" customHeight="1">
      <c r="A28" s="77" t="s">
        <v>95</v>
      </c>
      <c r="B28" s="77" t="s">
        <v>534</v>
      </c>
      <c r="C28" s="77" t="s">
        <v>106</v>
      </c>
      <c r="D28" s="77"/>
    </row>
    <row r="29" spans="1:5" ht="15" customHeight="1">
      <c r="A29" s="77" t="s">
        <v>95</v>
      </c>
      <c r="B29" s="77" t="s">
        <v>526</v>
      </c>
      <c r="C29" s="77" t="s">
        <v>136</v>
      </c>
      <c r="D29" s="77"/>
    </row>
    <row r="30" spans="1:5" ht="15" customHeight="1">
      <c r="A30" s="77" t="s">
        <v>95</v>
      </c>
      <c r="B30" s="77" t="s">
        <v>529</v>
      </c>
      <c r="C30" s="77" t="s">
        <v>136</v>
      </c>
      <c r="D30" s="77"/>
    </row>
    <row r="31" spans="1:5" ht="15.75" customHeight="1">
      <c r="A31" s="77" t="s">
        <v>95</v>
      </c>
      <c r="B31" s="77" t="s">
        <v>530</v>
      </c>
      <c r="C31" s="77" t="s">
        <v>136</v>
      </c>
      <c r="D31" s="77">
        <v>25</v>
      </c>
    </row>
    <row r="32" spans="1:5" ht="15.75" customHeight="1">
      <c r="A32" s="77" t="s">
        <v>95</v>
      </c>
      <c r="B32" s="77" t="s">
        <v>539</v>
      </c>
      <c r="C32" s="77" t="s">
        <v>136</v>
      </c>
      <c r="D32" s="77"/>
    </row>
    <row r="33" spans="1:5" ht="15" customHeight="1">
      <c r="A33" s="77" t="s">
        <v>95</v>
      </c>
      <c r="B33" s="77" t="s">
        <v>485</v>
      </c>
      <c r="C33" s="77" t="s">
        <v>490</v>
      </c>
      <c r="D33" s="77">
        <v>15</v>
      </c>
    </row>
    <row r="34" spans="1:5" ht="15" customHeight="1">
      <c r="A34" s="77" t="s">
        <v>95</v>
      </c>
      <c r="B34" s="77" t="s">
        <v>488</v>
      </c>
      <c r="C34" s="77" t="s">
        <v>490</v>
      </c>
      <c r="D34" s="77">
        <v>16</v>
      </c>
    </row>
    <row r="35" spans="1:5" ht="15" customHeight="1">
      <c r="A35" s="77" t="s">
        <v>95</v>
      </c>
      <c r="B35" s="21" t="s">
        <v>476</v>
      </c>
      <c r="C35" s="77" t="s">
        <v>477</v>
      </c>
      <c r="D35" s="77">
        <v>24</v>
      </c>
      <c r="E35" s="21"/>
    </row>
    <row r="36" spans="1:5" ht="15" customHeight="1">
      <c r="A36" s="77" t="s">
        <v>95</v>
      </c>
      <c r="B36" s="77" t="s">
        <v>542</v>
      </c>
      <c r="C36" s="77" t="s">
        <v>109</v>
      </c>
      <c r="D36" s="77">
        <v>28</v>
      </c>
    </row>
    <row r="37" spans="1:5" ht="15" customHeight="1">
      <c r="A37" s="77" t="s">
        <v>95</v>
      </c>
      <c r="B37" s="77" t="s">
        <v>549</v>
      </c>
      <c r="C37" s="77" t="s">
        <v>109</v>
      </c>
      <c r="D37" s="77">
        <v>30</v>
      </c>
    </row>
    <row r="38" spans="1:5" ht="15" customHeight="1">
      <c r="A38" s="77" t="s">
        <v>95</v>
      </c>
      <c r="B38" s="77" t="s">
        <v>858</v>
      </c>
      <c r="C38" s="77" t="s">
        <v>109</v>
      </c>
      <c r="D38" s="77">
        <v>28</v>
      </c>
    </row>
    <row r="39" spans="1:5" ht="15" customHeight="1">
      <c r="A39" s="77" t="s">
        <v>95</v>
      </c>
      <c r="B39" s="77" t="s">
        <v>859</v>
      </c>
      <c r="C39" s="77" t="s">
        <v>109</v>
      </c>
      <c r="D39" s="77">
        <v>20</v>
      </c>
    </row>
    <row r="40" spans="1:5" ht="15" customHeight="1">
      <c r="A40" s="77" t="s">
        <v>95</v>
      </c>
      <c r="B40" s="77" t="s">
        <v>531</v>
      </c>
      <c r="C40" s="77" t="s">
        <v>91</v>
      </c>
      <c r="D40" s="77">
        <v>14</v>
      </c>
    </row>
    <row r="41" spans="1:5" ht="15" customHeight="1">
      <c r="A41" s="77" t="s">
        <v>95</v>
      </c>
      <c r="B41" s="21" t="s">
        <v>100</v>
      </c>
      <c r="C41" s="77" t="s">
        <v>100</v>
      </c>
      <c r="D41" s="77">
        <v>50</v>
      </c>
      <c r="E41" s="21"/>
    </row>
    <row r="42" spans="1:5" ht="15" customHeight="1">
      <c r="A42" s="77" t="s">
        <v>95</v>
      </c>
      <c r="B42" s="21" t="s">
        <v>101</v>
      </c>
      <c r="C42" s="77" t="s">
        <v>100</v>
      </c>
      <c r="D42" s="77">
        <v>50</v>
      </c>
      <c r="E42" s="21"/>
    </row>
    <row r="43" spans="1:5" ht="15" customHeight="1">
      <c r="A43" s="77" t="s">
        <v>95</v>
      </c>
      <c r="B43" s="77" t="s">
        <v>535</v>
      </c>
      <c r="C43" s="77" t="s">
        <v>535</v>
      </c>
      <c r="D43" s="77"/>
    </row>
    <row r="44" spans="1:5" ht="15" customHeight="1">
      <c r="A44" s="77" t="s">
        <v>95</v>
      </c>
      <c r="B44" s="77" t="s">
        <v>538</v>
      </c>
      <c r="C44" s="77" t="s">
        <v>535</v>
      </c>
      <c r="D44" s="77"/>
    </row>
    <row r="45" spans="1:5" s="106" customFormat="1" ht="15.75" customHeight="1">
      <c r="A45" s="106" t="s">
        <v>95</v>
      </c>
      <c r="B45" s="106" t="s">
        <v>540</v>
      </c>
      <c r="C45" s="106" t="s">
        <v>77</v>
      </c>
      <c r="D45" s="106">
        <v>20</v>
      </c>
    </row>
    <row r="46" spans="1:5" s="102" customFormat="1" ht="15.75" customHeight="1">
      <c r="A46" s="102" t="s">
        <v>95</v>
      </c>
      <c r="B46" s="102" t="s">
        <v>541</v>
      </c>
      <c r="C46" s="102" t="s">
        <v>77</v>
      </c>
    </row>
    <row r="47" spans="1:5" ht="15" customHeight="1">
      <c r="A47" s="77" t="s">
        <v>95</v>
      </c>
      <c r="B47" s="21" t="s">
        <v>701</v>
      </c>
      <c r="C47" s="77" t="s">
        <v>522</v>
      </c>
      <c r="D47" s="77">
        <v>65</v>
      </c>
      <c r="E47" s="21"/>
    </row>
    <row r="48" spans="1:5" ht="15" customHeight="1">
      <c r="A48" s="77" t="s">
        <v>95</v>
      </c>
      <c r="B48" s="21" t="s">
        <v>203</v>
      </c>
      <c r="C48" s="77" t="s">
        <v>522</v>
      </c>
      <c r="D48" s="77">
        <v>100</v>
      </c>
      <c r="E48" s="21"/>
    </row>
    <row r="49" spans="1:5" ht="15" customHeight="1">
      <c r="A49" s="77" t="s">
        <v>95</v>
      </c>
      <c r="B49" s="77" t="s">
        <v>536</v>
      </c>
      <c r="C49" s="77" t="s">
        <v>521</v>
      </c>
      <c r="D49" s="77"/>
    </row>
    <row r="50" spans="1:5" ht="15" customHeight="1">
      <c r="A50" s="77" t="s">
        <v>95</v>
      </c>
      <c r="B50" s="77" t="s">
        <v>537</v>
      </c>
      <c r="C50" s="77" t="s">
        <v>521</v>
      </c>
      <c r="D50" s="77">
        <v>29</v>
      </c>
    </row>
    <row r="51" spans="1:5" ht="15">
      <c r="A51" s="77" t="s">
        <v>95</v>
      </c>
      <c r="B51" s="77" t="s">
        <v>518</v>
      </c>
      <c r="C51" s="77" t="s">
        <v>79</v>
      </c>
      <c r="D51" s="77">
        <v>15</v>
      </c>
    </row>
    <row r="52" spans="1:5" ht="15">
      <c r="A52" s="77" t="s">
        <v>95</v>
      </c>
      <c r="B52" s="77" t="s">
        <v>524</v>
      </c>
      <c r="C52" s="77" t="s">
        <v>79</v>
      </c>
      <c r="D52" s="77">
        <v>10</v>
      </c>
    </row>
    <row r="53" spans="1:5" ht="15.75" customHeight="1">
      <c r="A53" s="77" t="s">
        <v>95</v>
      </c>
      <c r="B53" s="70" t="s">
        <v>525</v>
      </c>
      <c r="C53" s="77" t="s">
        <v>79</v>
      </c>
      <c r="D53" s="94"/>
      <c r="E53" s="70" t="s">
        <v>863</v>
      </c>
    </row>
    <row r="54" spans="1:5" ht="15">
      <c r="A54" s="77" t="s">
        <v>95</v>
      </c>
      <c r="B54" s="78" t="s">
        <v>532</v>
      </c>
      <c r="C54" s="78" t="s">
        <v>79</v>
      </c>
      <c r="D54" s="78">
        <v>10</v>
      </c>
      <c r="E54" s="78"/>
    </row>
    <row r="55" spans="1:5" ht="15" customHeight="1">
      <c r="A55" s="79" t="s">
        <v>122</v>
      </c>
      <c r="B55" s="77" t="s">
        <v>545</v>
      </c>
      <c r="C55" s="77" t="s">
        <v>551</v>
      </c>
      <c r="D55" s="77"/>
    </row>
    <row r="56" spans="1:5" s="120" customFormat="1" ht="15" customHeight="1">
      <c r="A56" s="120" t="s">
        <v>122</v>
      </c>
      <c r="B56" s="120" t="s">
        <v>546</v>
      </c>
      <c r="C56" s="120" t="s">
        <v>520</v>
      </c>
      <c r="D56" s="120">
        <v>27</v>
      </c>
    </row>
    <row r="57" spans="1:5" ht="15" customHeight="1">
      <c r="A57" s="77" t="s">
        <v>122</v>
      </c>
      <c r="B57" s="77" t="s">
        <v>879</v>
      </c>
      <c r="C57" s="77" t="s">
        <v>520</v>
      </c>
      <c r="D57" s="77"/>
      <c r="E57" s="21"/>
    </row>
    <row r="58" spans="1:5" ht="15" customHeight="1">
      <c r="A58" s="77" t="s">
        <v>122</v>
      </c>
      <c r="B58" s="77" t="s">
        <v>547</v>
      </c>
      <c r="C58" s="77" t="s">
        <v>4</v>
      </c>
      <c r="D58" s="94"/>
      <c r="E58" s="77" t="s">
        <v>864</v>
      </c>
    </row>
    <row r="59" spans="1:5" ht="15" customHeight="1">
      <c r="A59" s="77" t="s">
        <v>122</v>
      </c>
      <c r="B59" s="77" t="s">
        <v>552</v>
      </c>
      <c r="C59" s="77" t="s">
        <v>553</v>
      </c>
      <c r="D59" s="77"/>
    </row>
    <row r="60" spans="1:5" ht="15.75" customHeight="1">
      <c r="A60" s="77" t="s">
        <v>122</v>
      </c>
      <c r="B60" s="77" t="s">
        <v>478</v>
      </c>
      <c r="C60" s="77" t="s">
        <v>477</v>
      </c>
      <c r="D60" s="77">
        <v>23</v>
      </c>
      <c r="E60" s="21"/>
    </row>
    <row r="61" spans="1:5" ht="15" customHeight="1">
      <c r="A61" s="77" t="s">
        <v>122</v>
      </c>
      <c r="B61" s="77" t="s">
        <v>550</v>
      </c>
      <c r="C61" s="77" t="s">
        <v>522</v>
      </c>
      <c r="D61" s="77">
        <v>22</v>
      </c>
    </row>
    <row r="62" spans="1:5" ht="15" customHeight="1">
      <c r="A62" s="77" t="s">
        <v>122</v>
      </c>
      <c r="B62" s="77" t="s">
        <v>548</v>
      </c>
      <c r="C62" s="77" t="s">
        <v>521</v>
      </c>
      <c r="D62" s="94"/>
    </row>
    <row r="63" spans="1:5" ht="15" customHeight="1">
      <c r="A63" s="77" t="s">
        <v>122</v>
      </c>
      <c r="B63" s="78" t="s">
        <v>549</v>
      </c>
      <c r="C63" s="78" t="s">
        <v>142</v>
      </c>
      <c r="D63" s="78"/>
      <c r="E63" s="78"/>
    </row>
    <row r="64" spans="1:5" ht="15" customHeight="1">
      <c r="A64" s="79" t="s">
        <v>126</v>
      </c>
      <c r="B64" s="54" t="s">
        <v>554</v>
      </c>
      <c r="C64" s="79" t="s">
        <v>82</v>
      </c>
      <c r="D64" s="54">
        <v>10</v>
      </c>
      <c r="E64" s="54" t="s">
        <v>878</v>
      </c>
    </row>
    <row r="65" spans="1:5" ht="15" customHeight="1">
      <c r="A65" s="77" t="s">
        <v>126</v>
      </c>
      <c r="B65" s="77" t="s">
        <v>857</v>
      </c>
      <c r="C65" s="77" t="s">
        <v>520</v>
      </c>
      <c r="D65" s="77">
        <v>27</v>
      </c>
      <c r="E65" s="21"/>
    </row>
    <row r="66" spans="1:5" ht="15" customHeight="1">
      <c r="A66" s="77" t="s">
        <v>126</v>
      </c>
      <c r="B66" s="77" t="s">
        <v>555</v>
      </c>
      <c r="C66" s="77" t="s">
        <v>551</v>
      </c>
      <c r="D66" s="77"/>
    </row>
    <row r="67" spans="1:5" ht="15" customHeight="1">
      <c r="A67" s="77" t="s">
        <v>126</v>
      </c>
      <c r="B67" s="77" t="s">
        <v>561</v>
      </c>
      <c r="C67" s="77" t="s">
        <v>551</v>
      </c>
      <c r="D67" s="77"/>
    </row>
    <row r="68" spans="1:5" ht="15" customHeight="1">
      <c r="A68" s="77" t="s">
        <v>126</v>
      </c>
      <c r="B68" s="77" t="s">
        <v>500</v>
      </c>
      <c r="C68" s="77" t="s">
        <v>200</v>
      </c>
      <c r="D68" s="77"/>
    </row>
    <row r="69" spans="1:5" ht="15" customHeight="1">
      <c r="A69" s="77" t="s">
        <v>126</v>
      </c>
      <c r="B69" s="77" t="s">
        <v>127</v>
      </c>
      <c r="C69" s="77" t="s">
        <v>106</v>
      </c>
      <c r="D69" s="77"/>
    </row>
    <row r="70" spans="1:5" ht="15" customHeight="1">
      <c r="A70" s="77" t="s">
        <v>126</v>
      </c>
      <c r="B70" s="77" t="s">
        <v>846</v>
      </c>
      <c r="C70" s="77" t="s">
        <v>100</v>
      </c>
      <c r="D70" s="77"/>
    </row>
    <row r="71" spans="1:5" ht="15" customHeight="1">
      <c r="A71" s="77" t="s">
        <v>126</v>
      </c>
      <c r="B71" s="77" t="s">
        <v>738</v>
      </c>
      <c r="C71" s="77" t="s">
        <v>100</v>
      </c>
      <c r="D71" s="77">
        <v>35</v>
      </c>
    </row>
    <row r="72" spans="1:5" ht="15" customHeight="1">
      <c r="A72" s="77" t="s">
        <v>126</v>
      </c>
      <c r="B72" s="77" t="s">
        <v>565</v>
      </c>
      <c r="C72" s="77" t="s">
        <v>567</v>
      </c>
      <c r="D72" s="77"/>
    </row>
    <row r="73" spans="1:5" ht="15" customHeight="1">
      <c r="A73" s="77" t="s">
        <v>126</v>
      </c>
      <c r="B73" s="77" t="s">
        <v>558</v>
      </c>
      <c r="C73" s="77" t="s">
        <v>136</v>
      </c>
      <c r="D73" s="77"/>
    </row>
    <row r="74" spans="1:5" ht="15" customHeight="1">
      <c r="A74" s="77" t="s">
        <v>126</v>
      </c>
      <c r="B74" s="77" t="s">
        <v>556</v>
      </c>
      <c r="C74" s="77" t="s">
        <v>136</v>
      </c>
      <c r="D74" s="77">
        <v>22</v>
      </c>
    </row>
    <row r="75" spans="1:5" ht="15" customHeight="1">
      <c r="A75" s="77" t="s">
        <v>126</v>
      </c>
      <c r="B75" s="77" t="s">
        <v>560</v>
      </c>
      <c r="C75" s="77" t="s">
        <v>136</v>
      </c>
      <c r="D75" s="77">
        <v>20</v>
      </c>
    </row>
    <row r="76" spans="1:5" ht="15" customHeight="1">
      <c r="A76" s="77" t="s">
        <v>126</v>
      </c>
      <c r="B76" s="77" t="s">
        <v>491</v>
      </c>
      <c r="C76" s="77" t="s">
        <v>497</v>
      </c>
      <c r="D76" s="77">
        <v>15</v>
      </c>
    </row>
    <row r="77" spans="1:5" ht="15" customHeight="1">
      <c r="A77" s="77" t="s">
        <v>126</v>
      </c>
      <c r="B77" s="77" t="s">
        <v>563</v>
      </c>
      <c r="C77" s="77" t="s">
        <v>553</v>
      </c>
      <c r="D77" s="77"/>
    </row>
    <row r="78" spans="1:5" ht="15" customHeight="1">
      <c r="A78" s="77" t="s">
        <v>126</v>
      </c>
      <c r="B78" s="77" t="s">
        <v>562</v>
      </c>
      <c r="C78" s="77" t="s">
        <v>112</v>
      </c>
      <c r="D78" s="77"/>
    </row>
    <row r="79" spans="1:5" ht="15">
      <c r="A79" s="77" t="s">
        <v>126</v>
      </c>
      <c r="B79" s="77" t="s">
        <v>483</v>
      </c>
      <c r="C79" s="77" t="s">
        <v>477</v>
      </c>
      <c r="D79" s="77">
        <v>25</v>
      </c>
      <c r="E79" s="21"/>
    </row>
    <row r="80" spans="1:5" ht="15">
      <c r="A80" s="77" t="s">
        <v>126</v>
      </c>
      <c r="B80" s="77" t="s">
        <v>544</v>
      </c>
      <c r="C80" s="77" t="s">
        <v>109</v>
      </c>
      <c r="D80" s="77">
        <v>25</v>
      </c>
    </row>
    <row r="81" spans="1:5" ht="15" customHeight="1">
      <c r="A81" s="77" t="s">
        <v>126</v>
      </c>
      <c r="B81" s="77" t="s">
        <v>557</v>
      </c>
      <c r="C81" s="77" t="s">
        <v>535</v>
      </c>
      <c r="D81" s="77"/>
    </row>
    <row r="82" spans="1:5" ht="15" customHeight="1">
      <c r="A82" s="77" t="s">
        <v>126</v>
      </c>
      <c r="B82" s="77" t="s">
        <v>559</v>
      </c>
      <c r="C82" s="77" t="s">
        <v>522</v>
      </c>
      <c r="D82" s="77">
        <v>15</v>
      </c>
    </row>
    <row r="83" spans="1:5" ht="15" customHeight="1">
      <c r="A83" s="77" t="s">
        <v>126</v>
      </c>
      <c r="B83" s="77" t="s">
        <v>566</v>
      </c>
      <c r="C83" s="77" t="s">
        <v>521</v>
      </c>
      <c r="D83" s="94"/>
    </row>
    <row r="84" spans="1:5" ht="15" customHeight="1">
      <c r="A84" s="77" t="s">
        <v>126</v>
      </c>
      <c r="B84" s="70" t="s">
        <v>833</v>
      </c>
      <c r="C84" s="77" t="s">
        <v>521</v>
      </c>
      <c r="D84" s="94"/>
      <c r="E84" s="70" t="s">
        <v>861</v>
      </c>
    </row>
    <row r="85" spans="1:5" ht="15" customHeight="1">
      <c r="A85" s="77" t="s">
        <v>126</v>
      </c>
      <c r="B85" s="78" t="s">
        <v>564</v>
      </c>
      <c r="C85" s="78" t="s">
        <v>142</v>
      </c>
      <c r="D85" s="78"/>
      <c r="E85" s="78"/>
    </row>
    <row r="86" spans="1:5" ht="15" customHeight="1">
      <c r="A86" s="79" t="s">
        <v>135</v>
      </c>
      <c r="B86" s="77" t="s">
        <v>569</v>
      </c>
      <c r="C86" s="77" t="s">
        <v>551</v>
      </c>
      <c r="D86" s="77"/>
    </row>
    <row r="87" spans="1:5" ht="15" customHeight="1">
      <c r="A87" s="77" t="s">
        <v>135</v>
      </c>
      <c r="B87" s="77" t="s">
        <v>574</v>
      </c>
      <c r="C87" s="77" t="s">
        <v>551</v>
      </c>
      <c r="D87" s="77"/>
    </row>
    <row r="88" spans="1:5" ht="15" customHeight="1">
      <c r="A88" s="77" t="s">
        <v>135</v>
      </c>
      <c r="B88" s="77" t="s">
        <v>579</v>
      </c>
      <c r="C88" s="77" t="s">
        <v>551</v>
      </c>
      <c r="D88" s="77"/>
    </row>
    <row r="89" spans="1:5" ht="15" customHeight="1">
      <c r="A89" s="77" t="s">
        <v>135</v>
      </c>
      <c r="B89" s="77" t="s">
        <v>582</v>
      </c>
      <c r="C89" s="77" t="s">
        <v>551</v>
      </c>
      <c r="D89" s="77"/>
    </row>
    <row r="90" spans="1:5" ht="15" customHeight="1">
      <c r="A90" s="77" t="s">
        <v>135</v>
      </c>
      <c r="B90" s="77" t="s">
        <v>571</v>
      </c>
      <c r="C90" s="77" t="s">
        <v>571</v>
      </c>
      <c r="D90" s="77"/>
    </row>
    <row r="91" spans="1:5" ht="15" customHeight="1">
      <c r="A91" s="77" t="s">
        <v>135</v>
      </c>
      <c r="B91" s="77" t="s">
        <v>504</v>
      </c>
      <c r="C91" s="77" t="s">
        <v>200</v>
      </c>
      <c r="D91" s="77"/>
    </row>
    <row r="92" spans="1:5" ht="15" customHeight="1">
      <c r="A92" s="77" t="s">
        <v>135</v>
      </c>
      <c r="B92" s="77" t="s">
        <v>498</v>
      </c>
      <c r="C92" s="77" t="s">
        <v>200</v>
      </c>
      <c r="D92" s="77"/>
    </row>
    <row r="93" spans="1:5" ht="15" customHeight="1">
      <c r="A93" s="77" t="s">
        <v>135</v>
      </c>
      <c r="B93" s="77" t="s">
        <v>573</v>
      </c>
      <c r="C93" s="77" t="s">
        <v>4</v>
      </c>
      <c r="D93" s="94"/>
    </row>
    <row r="94" spans="1:5" ht="15" customHeight="1">
      <c r="A94" s="77" t="s">
        <v>135</v>
      </c>
      <c r="B94" s="70" t="s">
        <v>154</v>
      </c>
      <c r="C94" s="77" t="s">
        <v>154</v>
      </c>
      <c r="D94" s="77">
        <v>20</v>
      </c>
      <c r="E94" s="70"/>
    </row>
    <row r="95" spans="1:5" ht="15" customHeight="1">
      <c r="A95" s="77" t="s">
        <v>135</v>
      </c>
      <c r="B95" s="77" t="s">
        <v>489</v>
      </c>
      <c r="C95" s="77" t="s">
        <v>490</v>
      </c>
      <c r="D95" s="77"/>
    </row>
    <row r="96" spans="1:5" ht="15" customHeight="1">
      <c r="A96" s="77" t="s">
        <v>135</v>
      </c>
      <c r="B96" s="77" t="s">
        <v>486</v>
      </c>
      <c r="C96" s="77" t="s">
        <v>490</v>
      </c>
      <c r="D96" s="77"/>
    </row>
    <row r="97" spans="1:5" ht="15" customHeight="1">
      <c r="A97" s="77" t="s">
        <v>135</v>
      </c>
      <c r="B97" s="77" t="s">
        <v>487</v>
      </c>
      <c r="C97" s="77" t="s">
        <v>490</v>
      </c>
      <c r="D97" s="77"/>
    </row>
    <row r="98" spans="1:5" ht="15" customHeight="1">
      <c r="A98" s="77" t="s">
        <v>135</v>
      </c>
      <c r="B98" s="77" t="s">
        <v>493</v>
      </c>
      <c r="C98" s="77" t="s">
        <v>497</v>
      </c>
      <c r="D98" s="77"/>
    </row>
    <row r="99" spans="1:5" ht="15" customHeight="1">
      <c r="A99" s="77" t="s">
        <v>135</v>
      </c>
      <c r="B99" s="77" t="s">
        <v>494</v>
      </c>
      <c r="C99" s="77" t="s">
        <v>497</v>
      </c>
      <c r="D99" s="77"/>
    </row>
    <row r="100" spans="1:5" ht="15" customHeight="1">
      <c r="A100" s="77" t="s">
        <v>135</v>
      </c>
      <c r="B100" s="77" t="s">
        <v>495</v>
      </c>
      <c r="C100" s="77" t="s">
        <v>497</v>
      </c>
      <c r="D100" s="77"/>
    </row>
    <row r="101" spans="1:5" ht="15" customHeight="1">
      <c r="A101" s="77" t="s">
        <v>135</v>
      </c>
      <c r="B101" s="77" t="s">
        <v>553</v>
      </c>
      <c r="C101" s="77" t="s">
        <v>553</v>
      </c>
      <c r="D101" s="77"/>
    </row>
    <row r="102" spans="1:5" ht="15" customHeight="1">
      <c r="A102" s="77" t="s">
        <v>135</v>
      </c>
      <c r="B102" s="77" t="s">
        <v>580</v>
      </c>
      <c r="C102" s="77" t="s">
        <v>553</v>
      </c>
      <c r="D102" s="77"/>
    </row>
    <row r="103" spans="1:5" ht="15" customHeight="1">
      <c r="A103" s="77" t="s">
        <v>135</v>
      </c>
      <c r="B103" s="77" t="s">
        <v>581</v>
      </c>
      <c r="C103" s="77" t="s">
        <v>553</v>
      </c>
      <c r="D103" s="77"/>
    </row>
    <row r="104" spans="1:5" ht="15" customHeight="1">
      <c r="A104" s="77" t="s">
        <v>135</v>
      </c>
      <c r="B104" s="77" t="s">
        <v>585</v>
      </c>
      <c r="C104" s="77" t="s">
        <v>112</v>
      </c>
      <c r="D104" s="77">
        <v>9</v>
      </c>
    </row>
    <row r="105" spans="1:5" ht="15" customHeight="1">
      <c r="A105" s="77" t="s">
        <v>135</v>
      </c>
      <c r="B105" s="77" t="s">
        <v>586</v>
      </c>
      <c r="C105" s="77" t="s">
        <v>112</v>
      </c>
      <c r="D105" s="77"/>
    </row>
    <row r="106" spans="1:5" ht="15">
      <c r="A106" s="77" t="s">
        <v>135</v>
      </c>
      <c r="B106" s="77" t="s">
        <v>482</v>
      </c>
      <c r="C106" s="77" t="s">
        <v>477</v>
      </c>
      <c r="D106" s="77">
        <v>29</v>
      </c>
      <c r="E106" s="21"/>
    </row>
    <row r="107" spans="1:5" ht="15">
      <c r="A107" s="77" t="s">
        <v>135</v>
      </c>
      <c r="B107" s="77" t="s">
        <v>484</v>
      </c>
      <c r="C107" s="77" t="s">
        <v>477</v>
      </c>
      <c r="D107" s="77">
        <v>28</v>
      </c>
      <c r="E107" s="21"/>
    </row>
    <row r="108" spans="1:5" ht="15">
      <c r="A108" s="77" t="s">
        <v>135</v>
      </c>
      <c r="B108" s="77" t="s">
        <v>479</v>
      </c>
      <c r="C108" s="77" t="s">
        <v>477</v>
      </c>
      <c r="D108" s="77">
        <v>27</v>
      </c>
      <c r="E108" s="21"/>
    </row>
    <row r="109" spans="1:5" ht="15">
      <c r="A109" s="77" t="s">
        <v>135</v>
      </c>
      <c r="B109" s="77" t="s">
        <v>480</v>
      </c>
      <c r="C109" s="77" t="s">
        <v>477</v>
      </c>
      <c r="D109" s="77">
        <v>15</v>
      </c>
    </row>
    <row r="110" spans="1:5" ht="15" customHeight="1">
      <c r="A110" s="77" t="s">
        <v>135</v>
      </c>
      <c r="B110" s="77" t="s">
        <v>578</v>
      </c>
      <c r="C110" s="77" t="s">
        <v>91</v>
      </c>
      <c r="D110" s="77">
        <v>14</v>
      </c>
    </row>
    <row r="111" spans="1:5" ht="15">
      <c r="A111" s="77" t="s">
        <v>135</v>
      </c>
      <c r="B111" s="77" t="s">
        <v>733</v>
      </c>
      <c r="C111" s="77" t="s">
        <v>100</v>
      </c>
      <c r="D111" s="77">
        <v>103</v>
      </c>
    </row>
    <row r="112" spans="1:5" ht="15">
      <c r="A112" s="77" t="s">
        <v>135</v>
      </c>
      <c r="B112" s="77" t="s">
        <v>816</v>
      </c>
      <c r="C112" s="77" t="s">
        <v>100</v>
      </c>
      <c r="D112" s="77">
        <v>76</v>
      </c>
    </row>
    <row r="113" spans="1:5" ht="15">
      <c r="A113" s="77" t="s">
        <v>135</v>
      </c>
      <c r="B113" s="77" t="s">
        <v>575</v>
      </c>
      <c r="C113" s="77" t="s">
        <v>77</v>
      </c>
      <c r="D113" s="77">
        <v>5</v>
      </c>
    </row>
    <row r="114" spans="1:5" ht="15" customHeight="1">
      <c r="A114" s="77" t="s">
        <v>135</v>
      </c>
      <c r="B114" s="77" t="s">
        <v>576</v>
      </c>
      <c r="C114" s="77" t="s">
        <v>77</v>
      </c>
      <c r="D114" s="77"/>
    </row>
    <row r="115" spans="1:5" ht="15" customHeight="1">
      <c r="A115" s="77" t="s">
        <v>135</v>
      </c>
      <c r="B115" s="77" t="s">
        <v>577</v>
      </c>
      <c r="C115" s="77" t="s">
        <v>77</v>
      </c>
      <c r="D115" s="77"/>
    </row>
    <row r="116" spans="1:5" ht="15" customHeight="1">
      <c r="A116" s="77" t="s">
        <v>135</v>
      </c>
      <c r="B116" s="77" t="s">
        <v>522</v>
      </c>
      <c r="C116" s="77" t="s">
        <v>522</v>
      </c>
      <c r="D116" s="77">
        <v>20</v>
      </c>
    </row>
    <row r="117" spans="1:5" ht="15" customHeight="1">
      <c r="A117" s="77" t="s">
        <v>135</v>
      </c>
      <c r="B117" s="77" t="s">
        <v>570</v>
      </c>
      <c r="C117" s="77" t="s">
        <v>521</v>
      </c>
      <c r="D117" s="94"/>
    </row>
    <row r="118" spans="1:5" ht="15" customHeight="1">
      <c r="A118" s="77" t="s">
        <v>135</v>
      </c>
      <c r="B118" s="77" t="s">
        <v>572</v>
      </c>
      <c r="C118" s="77" t="s">
        <v>521</v>
      </c>
      <c r="D118" s="94"/>
    </row>
    <row r="119" spans="1:5" ht="15" customHeight="1">
      <c r="A119" s="77" t="s">
        <v>135</v>
      </c>
      <c r="B119" s="77" t="s">
        <v>315</v>
      </c>
      <c r="C119" s="77" t="s">
        <v>521</v>
      </c>
      <c r="D119" s="94"/>
    </row>
    <row r="120" spans="1:5" ht="15" customHeight="1">
      <c r="A120" s="77" t="s">
        <v>135</v>
      </c>
      <c r="B120" s="77" t="s">
        <v>583</v>
      </c>
      <c r="C120" s="77" t="s">
        <v>142</v>
      </c>
      <c r="D120" s="77"/>
    </row>
    <row r="121" spans="1:5" ht="15" customHeight="1">
      <c r="A121" s="77" t="s">
        <v>135</v>
      </c>
      <c r="B121" s="77" t="s">
        <v>584</v>
      </c>
      <c r="C121" s="77" t="s">
        <v>142</v>
      </c>
      <c r="D121" s="77"/>
    </row>
    <row r="122" spans="1:5" ht="15" customHeight="1">
      <c r="A122" s="77" t="s">
        <v>135</v>
      </c>
      <c r="B122" s="78" t="s">
        <v>568</v>
      </c>
      <c r="C122" s="78" t="s">
        <v>79</v>
      </c>
      <c r="D122" s="95"/>
      <c r="E122" s="78"/>
    </row>
    <row r="123" spans="1:5" ht="15" customHeight="1">
      <c r="A123" s="79" t="s">
        <v>234</v>
      </c>
      <c r="B123" s="77" t="s">
        <v>587</v>
      </c>
      <c r="C123" s="77" t="s">
        <v>82</v>
      </c>
      <c r="D123" s="77"/>
    </row>
    <row r="124" spans="1:5" ht="15" customHeight="1">
      <c r="A124" s="77" t="s">
        <v>234</v>
      </c>
      <c r="B124" s="77" t="s">
        <v>502</v>
      </c>
      <c r="C124" s="77" t="s">
        <v>200</v>
      </c>
      <c r="D124" s="77"/>
    </row>
    <row r="125" spans="1:5" ht="15" customHeight="1">
      <c r="A125" s="77" t="s">
        <v>234</v>
      </c>
      <c r="B125" s="77" t="s">
        <v>591</v>
      </c>
      <c r="C125" s="77" t="s">
        <v>106</v>
      </c>
      <c r="D125" s="77"/>
    </row>
    <row r="126" spans="1:5" ht="15" customHeight="1">
      <c r="A126" s="77" t="s">
        <v>234</v>
      </c>
      <c r="B126" s="77" t="s">
        <v>592</v>
      </c>
      <c r="C126" s="77" t="s">
        <v>106</v>
      </c>
      <c r="D126" s="77"/>
    </row>
    <row r="127" spans="1:5" ht="15" customHeight="1">
      <c r="A127" s="77" t="s">
        <v>234</v>
      </c>
      <c r="B127" s="77" t="s">
        <v>595</v>
      </c>
      <c r="C127" s="77" t="s">
        <v>154</v>
      </c>
      <c r="D127" s="77"/>
    </row>
    <row r="128" spans="1:5" ht="15" customHeight="1">
      <c r="A128" s="77" t="s">
        <v>234</v>
      </c>
      <c r="B128" s="77" t="s">
        <v>492</v>
      </c>
      <c r="C128" s="77" t="s">
        <v>497</v>
      </c>
      <c r="D128" s="77"/>
    </row>
    <row r="129" spans="1:5" ht="15" customHeight="1">
      <c r="A129" s="77" t="s">
        <v>234</v>
      </c>
      <c r="B129" s="77" t="s">
        <v>589</v>
      </c>
      <c r="C129" s="77" t="s">
        <v>553</v>
      </c>
      <c r="D129" s="77"/>
    </row>
    <row r="130" spans="1:5" ht="15" customHeight="1">
      <c r="A130" s="77" t="s">
        <v>234</v>
      </c>
      <c r="B130" s="77" t="s">
        <v>845</v>
      </c>
      <c r="C130" s="77" t="s">
        <v>100</v>
      </c>
      <c r="D130" s="77">
        <v>40</v>
      </c>
    </row>
    <row r="131" spans="1:5" ht="15" customHeight="1">
      <c r="A131" s="77" t="s">
        <v>234</v>
      </c>
      <c r="B131" s="70" t="s">
        <v>825</v>
      </c>
      <c r="C131" s="77" t="s">
        <v>100</v>
      </c>
      <c r="D131" s="77">
        <v>55</v>
      </c>
      <c r="E131" s="70"/>
    </row>
    <row r="132" spans="1:5" ht="15" customHeight="1">
      <c r="A132" s="77" t="s">
        <v>234</v>
      </c>
      <c r="B132" s="77" t="s">
        <v>826</v>
      </c>
      <c r="C132" s="77" t="s">
        <v>522</v>
      </c>
      <c r="D132" s="77">
        <v>18</v>
      </c>
    </row>
    <row r="133" spans="1:5" ht="15" customHeight="1">
      <c r="A133" s="77" t="s">
        <v>234</v>
      </c>
      <c r="B133" s="77" t="s">
        <v>588</v>
      </c>
      <c r="C133" s="77" t="s">
        <v>522</v>
      </c>
      <c r="D133" s="77"/>
    </row>
    <row r="134" spans="1:5" ht="15" customHeight="1">
      <c r="A134" s="77" t="s">
        <v>234</v>
      </c>
      <c r="B134" s="77" t="s">
        <v>593</v>
      </c>
      <c r="C134" s="77" t="s">
        <v>522</v>
      </c>
      <c r="D134" s="77">
        <v>16</v>
      </c>
    </row>
    <row r="135" spans="1:5" ht="15" customHeight="1">
      <c r="A135" s="77" t="s">
        <v>234</v>
      </c>
      <c r="B135" s="77" t="s">
        <v>590</v>
      </c>
      <c r="C135" s="77" t="s">
        <v>521</v>
      </c>
      <c r="D135" s="94"/>
    </row>
    <row r="136" spans="1:5" ht="15" customHeight="1">
      <c r="A136" s="77" t="s">
        <v>234</v>
      </c>
      <c r="B136" s="72" t="s">
        <v>594</v>
      </c>
      <c r="C136" s="78" t="s">
        <v>519</v>
      </c>
      <c r="D136" s="78"/>
      <c r="E136" s="72"/>
    </row>
    <row r="137" spans="1:5" ht="15" customHeight="1">
      <c r="A137" s="79" t="s">
        <v>235</v>
      </c>
      <c r="B137" s="79" t="s">
        <v>596</v>
      </c>
      <c r="C137" s="79" t="s">
        <v>82</v>
      </c>
      <c r="D137" s="96"/>
      <c r="E137" s="79"/>
    </row>
    <row r="138" spans="1:5" ht="15" customHeight="1">
      <c r="A138" s="77" t="s">
        <v>235</v>
      </c>
      <c r="B138" s="77" t="s">
        <v>602</v>
      </c>
      <c r="C138" s="77" t="s">
        <v>551</v>
      </c>
      <c r="D138" s="77"/>
    </row>
    <row r="139" spans="1:5" ht="15" customHeight="1">
      <c r="A139" s="77" t="s">
        <v>235</v>
      </c>
      <c r="B139" s="77" t="s">
        <v>604</v>
      </c>
      <c r="C139" s="77" t="s">
        <v>614</v>
      </c>
      <c r="D139" s="77"/>
    </row>
    <row r="140" spans="1:5" ht="15" customHeight="1">
      <c r="A140" s="77" t="s">
        <v>235</v>
      </c>
      <c r="B140" s="77" t="s">
        <v>499</v>
      </c>
      <c r="C140" s="77" t="s">
        <v>200</v>
      </c>
      <c r="D140" s="77"/>
    </row>
    <row r="141" spans="1:5" ht="15" customHeight="1">
      <c r="A141" s="77" t="s">
        <v>235</v>
      </c>
      <c r="B141" s="77" t="s">
        <v>501</v>
      </c>
      <c r="C141" s="77" t="s">
        <v>200</v>
      </c>
      <c r="D141" s="77"/>
    </row>
    <row r="142" spans="1:5" ht="15" customHeight="1">
      <c r="A142" s="77" t="s">
        <v>235</v>
      </c>
      <c r="B142" s="70" t="s">
        <v>608</v>
      </c>
      <c r="C142" s="77" t="s">
        <v>4</v>
      </c>
      <c r="D142" s="94"/>
      <c r="E142" s="70"/>
    </row>
    <row r="143" spans="1:5" ht="15" customHeight="1">
      <c r="A143" s="77" t="s">
        <v>235</v>
      </c>
      <c r="B143" s="77" t="s">
        <v>597</v>
      </c>
      <c r="C143" s="77" t="s">
        <v>567</v>
      </c>
      <c r="D143" s="77">
        <v>10</v>
      </c>
    </row>
    <row r="144" spans="1:5" ht="15">
      <c r="A144" s="77" t="s">
        <v>235</v>
      </c>
      <c r="B144" s="77" t="s">
        <v>598</v>
      </c>
      <c r="C144" s="77" t="s">
        <v>567</v>
      </c>
      <c r="D144" s="77">
        <v>10</v>
      </c>
    </row>
    <row r="145" spans="1:5" ht="15" customHeight="1">
      <c r="A145" s="77" t="s">
        <v>235</v>
      </c>
      <c r="B145" s="77" t="s">
        <v>605</v>
      </c>
      <c r="C145" s="77" t="s">
        <v>567</v>
      </c>
      <c r="D145" s="77"/>
    </row>
    <row r="146" spans="1:5" ht="15" customHeight="1">
      <c r="A146" s="77" t="s">
        <v>235</v>
      </c>
      <c r="B146" s="77" t="s">
        <v>153</v>
      </c>
      <c r="C146" s="77" t="s">
        <v>154</v>
      </c>
      <c r="D146" s="77"/>
    </row>
    <row r="147" spans="1:5" ht="15" customHeight="1">
      <c r="A147" s="77" t="s">
        <v>235</v>
      </c>
      <c r="B147" s="77" t="s">
        <v>496</v>
      </c>
      <c r="C147" s="77" t="s">
        <v>497</v>
      </c>
      <c r="D147" s="77"/>
    </row>
    <row r="148" spans="1:5" ht="15" customHeight="1">
      <c r="A148" s="77" t="s">
        <v>235</v>
      </c>
      <c r="B148" s="77" t="s">
        <v>610</v>
      </c>
      <c r="C148" s="77" t="s">
        <v>112</v>
      </c>
      <c r="D148" s="77"/>
    </row>
    <row r="149" spans="1:5" ht="15" customHeight="1">
      <c r="A149" s="77" t="s">
        <v>235</v>
      </c>
      <c r="B149" s="77" t="s">
        <v>611</v>
      </c>
      <c r="C149" s="77" t="s">
        <v>112</v>
      </c>
      <c r="D149" s="77"/>
    </row>
    <row r="150" spans="1:5" ht="15" customHeight="1">
      <c r="A150" s="77" t="s">
        <v>235</v>
      </c>
      <c r="B150" s="77" t="s">
        <v>599</v>
      </c>
      <c r="C150" s="77" t="s">
        <v>100</v>
      </c>
      <c r="D150" s="77">
        <v>25</v>
      </c>
    </row>
    <row r="151" spans="1:5" ht="15" customHeight="1">
      <c r="A151" s="77" t="s">
        <v>235</v>
      </c>
      <c r="B151" s="77" t="s">
        <v>600</v>
      </c>
      <c r="C151" s="77" t="s">
        <v>100</v>
      </c>
      <c r="D151" s="77">
        <v>30</v>
      </c>
    </row>
    <row r="152" spans="1:5" ht="15" customHeight="1">
      <c r="A152" s="77" t="s">
        <v>235</v>
      </c>
      <c r="B152" s="77" t="s">
        <v>609</v>
      </c>
      <c r="C152" s="77" t="s">
        <v>77</v>
      </c>
      <c r="D152" s="77"/>
    </row>
    <row r="153" spans="1:5" ht="15" customHeight="1">
      <c r="A153" s="77" t="s">
        <v>235</v>
      </c>
      <c r="B153" s="77" t="s">
        <v>601</v>
      </c>
      <c r="C153" s="77" t="s">
        <v>613</v>
      </c>
      <c r="D153" s="77"/>
    </row>
    <row r="154" spans="1:5" ht="15" customHeight="1">
      <c r="A154" s="77" t="s">
        <v>235</v>
      </c>
      <c r="B154" s="77" t="s">
        <v>606</v>
      </c>
      <c r="C154" s="77" t="s">
        <v>613</v>
      </c>
      <c r="D154" s="77"/>
    </row>
    <row r="155" spans="1:5" ht="15" customHeight="1">
      <c r="A155" s="77" t="s">
        <v>235</v>
      </c>
      <c r="B155" s="70" t="s">
        <v>603</v>
      </c>
      <c r="C155" s="77" t="s">
        <v>521</v>
      </c>
      <c r="D155" s="77">
        <v>25</v>
      </c>
      <c r="E155" s="70"/>
    </row>
    <row r="156" spans="1:5" ht="15" customHeight="1">
      <c r="A156" s="77" t="s">
        <v>235</v>
      </c>
      <c r="B156" s="70" t="s">
        <v>824</v>
      </c>
      <c r="C156" s="77" t="s">
        <v>521</v>
      </c>
      <c r="D156" s="77">
        <v>27</v>
      </c>
      <c r="E156" s="70"/>
    </row>
    <row r="157" spans="1:5" ht="15" customHeight="1">
      <c r="A157" s="77" t="s">
        <v>235</v>
      </c>
      <c r="B157" s="78" t="s">
        <v>612</v>
      </c>
      <c r="C157" s="78" t="s">
        <v>142</v>
      </c>
      <c r="D157" s="78"/>
      <c r="E157" s="78"/>
    </row>
    <row r="158" spans="1:5" ht="15" customHeight="1">
      <c r="A158" s="79" t="s">
        <v>236</v>
      </c>
      <c r="B158" s="79" t="s">
        <v>616</v>
      </c>
      <c r="C158" s="79" t="s">
        <v>82</v>
      </c>
      <c r="D158" s="96"/>
      <c r="E158" s="79"/>
    </row>
    <row r="159" spans="1:5" ht="15" customHeight="1">
      <c r="A159" s="77" t="s">
        <v>236</v>
      </c>
      <c r="B159" s="77" t="s">
        <v>620</v>
      </c>
      <c r="C159" s="77" t="s">
        <v>614</v>
      </c>
      <c r="D159" s="77"/>
    </row>
    <row r="160" spans="1:5" ht="15" customHeight="1">
      <c r="A160" s="77" t="s">
        <v>236</v>
      </c>
      <c r="B160" s="77" t="s">
        <v>503</v>
      </c>
      <c r="C160" s="77" t="s">
        <v>200</v>
      </c>
      <c r="D160" s="77"/>
    </row>
    <row r="161" spans="1:5" ht="15" customHeight="1">
      <c r="A161" s="77" t="s">
        <v>236</v>
      </c>
      <c r="B161" s="77" t="s">
        <v>617</v>
      </c>
      <c r="C161" s="77" t="s">
        <v>136</v>
      </c>
      <c r="D161" s="77">
        <v>27</v>
      </c>
    </row>
    <row r="162" spans="1:5" ht="15" customHeight="1">
      <c r="A162" s="77" t="s">
        <v>236</v>
      </c>
      <c r="B162" s="77" t="s">
        <v>615</v>
      </c>
      <c r="C162" s="77" t="s">
        <v>154</v>
      </c>
      <c r="D162" s="77"/>
    </row>
    <row r="163" spans="1:5" ht="15" customHeight="1">
      <c r="A163" s="77" t="s">
        <v>236</v>
      </c>
      <c r="B163" s="77" t="s">
        <v>618</v>
      </c>
      <c r="C163" s="77" t="s">
        <v>91</v>
      </c>
      <c r="D163" s="77"/>
    </row>
    <row r="164" spans="1:5" ht="15" customHeight="1">
      <c r="A164" s="77" t="s">
        <v>236</v>
      </c>
      <c r="B164" s="77" t="s">
        <v>619</v>
      </c>
      <c r="C164" s="77" t="s">
        <v>100</v>
      </c>
      <c r="D164" s="77">
        <v>30</v>
      </c>
    </row>
    <row r="165" spans="1:5" ht="15" customHeight="1">
      <c r="A165" s="77" t="s">
        <v>236</v>
      </c>
      <c r="B165" s="78" t="s">
        <v>621</v>
      </c>
      <c r="C165" s="78" t="s">
        <v>519</v>
      </c>
      <c r="D165" s="78"/>
      <c r="E165" s="78"/>
    </row>
    <row r="166" spans="1:5" ht="15" customHeight="1">
      <c r="A166" s="79" t="s">
        <v>251</v>
      </c>
      <c r="B166" s="79" t="s">
        <v>624</v>
      </c>
      <c r="C166" s="79" t="s">
        <v>571</v>
      </c>
      <c r="D166" s="73"/>
      <c r="E166" s="79"/>
    </row>
    <row r="167" spans="1:5" ht="15" customHeight="1">
      <c r="A167" s="77" t="s">
        <v>251</v>
      </c>
      <c r="B167" s="77" t="s">
        <v>625</v>
      </c>
      <c r="C167" s="77" t="s">
        <v>567</v>
      </c>
    </row>
    <row r="168" spans="1:5" ht="15" customHeight="1">
      <c r="A168" s="77" t="s">
        <v>251</v>
      </c>
      <c r="B168" s="70" t="s">
        <v>623</v>
      </c>
      <c r="C168" s="77" t="s">
        <v>106</v>
      </c>
      <c r="E168" s="70"/>
    </row>
    <row r="169" spans="1:5" ht="15" customHeight="1">
      <c r="A169" s="77" t="s">
        <v>251</v>
      </c>
      <c r="B169" s="77" t="s">
        <v>626</v>
      </c>
      <c r="C169" s="77" t="s">
        <v>154</v>
      </c>
    </row>
    <row r="170" spans="1:5" ht="15" customHeight="1">
      <c r="A170" s="77" t="s">
        <v>251</v>
      </c>
      <c r="B170" s="78" t="s">
        <v>622</v>
      </c>
      <c r="C170" s="78" t="s">
        <v>100</v>
      </c>
      <c r="D170" s="78">
        <v>25</v>
      </c>
      <c r="E170" s="78"/>
    </row>
    <row r="171" spans="1:5">
      <c r="A171" s="79" t="s">
        <v>252</v>
      </c>
      <c r="B171" s="77" t="s">
        <v>481</v>
      </c>
      <c r="C171" s="77" t="s">
        <v>477</v>
      </c>
    </row>
    <row r="172" spans="1:5" ht="15" customHeight="1">
      <c r="A172" s="79" t="s">
        <v>253</v>
      </c>
      <c r="B172" s="79" t="s">
        <v>519</v>
      </c>
      <c r="C172" s="79" t="s">
        <v>519</v>
      </c>
      <c r="D172" s="73"/>
      <c r="E172" s="79"/>
    </row>
    <row r="173" spans="1:5" ht="15" customHeight="1">
      <c r="A173" s="78" t="s">
        <v>253</v>
      </c>
      <c r="B173" s="77" t="s">
        <v>627</v>
      </c>
      <c r="C173" s="77" t="s">
        <v>519</v>
      </c>
    </row>
    <row r="174" spans="1:5" ht="15" customHeight="1">
      <c r="A174" s="77" t="s">
        <v>254</v>
      </c>
      <c r="B174" s="79" t="s">
        <v>629</v>
      </c>
      <c r="C174" s="79" t="s">
        <v>551</v>
      </c>
      <c r="D174" s="73"/>
      <c r="E174" s="79"/>
    </row>
    <row r="175" spans="1:5" ht="15" customHeight="1">
      <c r="A175" s="77" t="s">
        <v>254</v>
      </c>
      <c r="B175" s="77" t="s">
        <v>630</v>
      </c>
      <c r="C175" s="77" t="s">
        <v>136</v>
      </c>
    </row>
    <row r="176" spans="1:5" ht="15" customHeight="1">
      <c r="A176" s="77" t="s">
        <v>254</v>
      </c>
      <c r="B176" s="77" t="s">
        <v>628</v>
      </c>
      <c r="C176" s="77" t="s">
        <v>77</v>
      </c>
    </row>
    <row r="177" spans="1:5" ht="15" customHeight="1">
      <c r="A177" s="78" t="s">
        <v>254</v>
      </c>
      <c r="B177" s="78" t="s">
        <v>77</v>
      </c>
      <c r="C177" s="78" t="s">
        <v>77</v>
      </c>
      <c r="D177" s="75"/>
      <c r="E177" s="78"/>
    </row>
    <row r="178" spans="1:5">
      <c r="A178" s="77"/>
    </row>
    <row r="179" spans="1:5">
      <c r="A179" s="77"/>
    </row>
    <row r="180" spans="1:5">
      <c r="A180" s="77"/>
    </row>
    <row r="181" spans="1:5">
      <c r="A181" s="77"/>
    </row>
  </sheetData>
  <autoFilter ref="A1:J177">
    <filterColumn colId="1"/>
    <filterColumn colId="3"/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topLeftCell="A13" workbookViewId="0">
      <selection activeCell="C8" sqref="C8"/>
    </sheetView>
  </sheetViews>
  <sheetFormatPr defaultColWidth="9.140625" defaultRowHeight="15"/>
  <cols>
    <col min="1" max="1" width="4.140625" style="97" bestFit="1" customWidth="1"/>
    <col min="2" max="2" width="6.85546875" style="97" bestFit="1" customWidth="1"/>
    <col min="3" max="3" width="28.28515625" style="97" bestFit="1" customWidth="1"/>
    <col min="4" max="4" width="17.5703125" style="97" bestFit="1" customWidth="1"/>
    <col min="5" max="16384" width="9.140625" style="15"/>
  </cols>
  <sheetData>
    <row r="1" spans="1:4" ht="16.5" thickBot="1">
      <c r="A1" s="142" t="s">
        <v>2</v>
      </c>
      <c r="B1" s="142"/>
      <c r="C1" s="76" t="s">
        <v>74</v>
      </c>
      <c r="D1" s="76" t="s">
        <v>0</v>
      </c>
    </row>
    <row r="2" spans="1:4">
      <c r="A2" s="143" t="s">
        <v>23</v>
      </c>
      <c r="B2" s="78" t="s">
        <v>75</v>
      </c>
      <c r="C2" s="78" t="s">
        <v>107</v>
      </c>
      <c r="D2" s="78" t="s">
        <v>106</v>
      </c>
    </row>
    <row r="3" spans="1:4" ht="15" customHeight="1">
      <c r="A3" s="143"/>
      <c r="B3" s="143" t="s">
        <v>86</v>
      </c>
      <c r="C3" s="77" t="s">
        <v>108</v>
      </c>
      <c r="D3" s="77" t="s">
        <v>106</v>
      </c>
    </row>
    <row r="4" spans="1:4" ht="15" customHeight="1">
      <c r="A4" s="143"/>
      <c r="B4" s="146"/>
      <c r="C4" s="78" t="s">
        <v>93</v>
      </c>
      <c r="D4" s="78" t="s">
        <v>109</v>
      </c>
    </row>
    <row r="5" spans="1:4" ht="15" customHeight="1">
      <c r="A5" s="143"/>
      <c r="B5" s="78" t="s">
        <v>96</v>
      </c>
      <c r="C5" s="78" t="s">
        <v>111</v>
      </c>
      <c r="D5" s="78" t="s">
        <v>110</v>
      </c>
    </row>
    <row r="6" spans="1:4">
      <c r="A6" s="144"/>
      <c r="B6" s="147" t="s">
        <v>95</v>
      </c>
      <c r="C6" s="77" t="s">
        <v>113</v>
      </c>
      <c r="D6" s="77" t="s">
        <v>112</v>
      </c>
    </row>
    <row r="7" spans="1:4">
      <c r="A7" s="144"/>
      <c r="B7" s="143"/>
      <c r="C7" s="77" t="s">
        <v>114</v>
      </c>
      <c r="D7" s="77" t="s">
        <v>77</v>
      </c>
    </row>
    <row r="8" spans="1:4">
      <c r="A8" s="143"/>
      <c r="B8" s="143"/>
      <c r="C8" s="77" t="s">
        <v>115</v>
      </c>
      <c r="D8" s="77" t="s">
        <v>110</v>
      </c>
    </row>
    <row r="9" spans="1:4" ht="15" customHeight="1">
      <c r="A9" s="143"/>
      <c r="B9" s="143"/>
      <c r="C9" s="77" t="s">
        <v>118</v>
      </c>
      <c r="D9" s="77" t="s">
        <v>116</v>
      </c>
    </row>
    <row r="10" spans="1:4">
      <c r="A10" s="144"/>
      <c r="B10" s="143"/>
      <c r="C10" s="77" t="s">
        <v>119</v>
      </c>
      <c r="D10" s="77" t="s">
        <v>117</v>
      </c>
    </row>
    <row r="11" spans="1:4">
      <c r="A11" s="143"/>
      <c r="B11" s="143"/>
      <c r="C11" s="77" t="s">
        <v>120</v>
      </c>
      <c r="D11" s="77" t="s">
        <v>116</v>
      </c>
    </row>
    <row r="12" spans="1:4">
      <c r="A12" s="144"/>
      <c r="B12" s="146"/>
      <c r="C12" s="78" t="s">
        <v>121</v>
      </c>
      <c r="D12" s="78" t="s">
        <v>77</v>
      </c>
    </row>
    <row r="13" spans="1:4">
      <c r="A13" s="143"/>
      <c r="B13" s="143" t="s">
        <v>122</v>
      </c>
      <c r="C13" s="77" t="s">
        <v>123</v>
      </c>
      <c r="D13" s="77" t="s">
        <v>110</v>
      </c>
    </row>
    <row r="14" spans="1:4" ht="15" customHeight="1">
      <c r="A14" s="143"/>
      <c r="B14" s="143"/>
      <c r="C14" s="77" t="s">
        <v>124</v>
      </c>
      <c r="D14" s="77" t="s">
        <v>116</v>
      </c>
    </row>
    <row r="15" spans="1:4" ht="15" customHeight="1">
      <c r="A15" s="143"/>
      <c r="B15" s="146"/>
      <c r="C15" s="78" t="s">
        <v>125</v>
      </c>
      <c r="D15" s="78" t="s">
        <v>116</v>
      </c>
    </row>
    <row r="16" spans="1:4" ht="15" customHeight="1">
      <c r="A16" s="143"/>
      <c r="B16" s="143" t="s">
        <v>126</v>
      </c>
      <c r="C16" s="77" t="s">
        <v>110</v>
      </c>
      <c r="D16" s="77" t="s">
        <v>110</v>
      </c>
    </row>
    <row r="17" spans="1:4" ht="15" customHeight="1">
      <c r="A17" s="143"/>
      <c r="B17" s="143"/>
      <c r="C17" s="77" t="s">
        <v>527</v>
      </c>
      <c r="D17" s="77" t="s">
        <v>110</v>
      </c>
    </row>
    <row r="18" spans="1:4" ht="15" customHeight="1">
      <c r="A18" s="143"/>
      <c r="B18" s="143"/>
      <c r="C18" s="77" t="s">
        <v>128</v>
      </c>
      <c r="D18" s="77" t="s">
        <v>109</v>
      </c>
    </row>
    <row r="19" spans="1:4" ht="15" customHeight="1">
      <c r="A19" s="143"/>
      <c r="B19" s="143"/>
      <c r="C19" s="77" t="s">
        <v>129</v>
      </c>
      <c r="D19" s="77" t="s">
        <v>110</v>
      </c>
    </row>
    <row r="20" spans="1:4" ht="15" customHeight="1">
      <c r="A20" s="143"/>
      <c r="B20" s="143"/>
      <c r="C20" s="77" t="s">
        <v>130</v>
      </c>
      <c r="D20" s="77" t="s">
        <v>116</v>
      </c>
    </row>
    <row r="21" spans="1:4">
      <c r="A21" s="144"/>
      <c r="B21" s="144"/>
      <c r="C21" s="77" t="s">
        <v>133</v>
      </c>
      <c r="D21" s="77" t="s">
        <v>117</v>
      </c>
    </row>
    <row r="22" spans="1:4">
      <c r="A22" s="144"/>
      <c r="B22" s="144"/>
      <c r="C22" s="77" t="s">
        <v>131</v>
      </c>
      <c r="D22" s="77" t="s">
        <v>77</v>
      </c>
    </row>
    <row r="23" spans="1:4">
      <c r="A23" s="143"/>
      <c r="B23" s="143"/>
      <c r="C23" s="77" t="s">
        <v>132</v>
      </c>
      <c r="D23" s="77" t="s">
        <v>110</v>
      </c>
    </row>
    <row r="24" spans="1:4">
      <c r="A24" s="144"/>
      <c r="B24" s="144"/>
      <c r="C24" s="77" t="s">
        <v>117</v>
      </c>
      <c r="D24" s="77" t="s">
        <v>117</v>
      </c>
    </row>
    <row r="25" spans="1:4">
      <c r="A25" s="144"/>
      <c r="B25" s="145"/>
      <c r="C25" s="78" t="s">
        <v>134</v>
      </c>
      <c r="D25" s="78" t="s">
        <v>77</v>
      </c>
    </row>
    <row r="26" spans="1:4">
      <c r="A26" s="144"/>
      <c r="B26" s="147" t="s">
        <v>135</v>
      </c>
      <c r="C26" s="77" t="s">
        <v>137</v>
      </c>
      <c r="D26" s="77" t="s">
        <v>77</v>
      </c>
    </row>
    <row r="27" spans="1:4">
      <c r="A27" s="144"/>
      <c r="B27" s="143"/>
      <c r="C27" s="77" t="s">
        <v>138</v>
      </c>
      <c r="D27" s="77" t="s">
        <v>77</v>
      </c>
    </row>
    <row r="28" spans="1:4">
      <c r="A28" s="144"/>
      <c r="B28" s="143"/>
      <c r="C28" s="77" t="s">
        <v>139</v>
      </c>
      <c r="D28" s="77" t="s">
        <v>136</v>
      </c>
    </row>
    <row r="29" spans="1:4">
      <c r="A29" s="144"/>
      <c r="B29" s="143"/>
      <c r="C29" s="77" t="s">
        <v>140</v>
      </c>
      <c r="D29" s="77" t="s">
        <v>77</v>
      </c>
    </row>
    <row r="30" spans="1:4">
      <c r="A30" s="143"/>
      <c r="B30" s="143"/>
      <c r="C30" s="77" t="s">
        <v>141</v>
      </c>
      <c r="D30" s="77" t="s">
        <v>116</v>
      </c>
    </row>
    <row r="31" spans="1:4">
      <c r="A31" s="145"/>
      <c r="B31" s="146"/>
      <c r="C31" s="78" t="s">
        <v>148</v>
      </c>
      <c r="D31" s="78" t="s">
        <v>117</v>
      </c>
    </row>
    <row r="32" spans="1:4">
      <c r="A32" s="147" t="s">
        <v>34</v>
      </c>
      <c r="B32" s="147"/>
      <c r="C32" s="79" t="s">
        <v>143</v>
      </c>
      <c r="D32" s="79" t="s">
        <v>142</v>
      </c>
    </row>
    <row r="33" spans="1:4" ht="15" customHeight="1">
      <c r="A33" s="143"/>
      <c r="B33" s="143"/>
      <c r="C33" s="77" t="s">
        <v>144</v>
      </c>
      <c r="D33" s="77" t="s">
        <v>116</v>
      </c>
    </row>
    <row r="34" spans="1:4" ht="15" customHeight="1">
      <c r="A34" s="146"/>
      <c r="B34" s="146"/>
      <c r="C34" s="78" t="s">
        <v>145</v>
      </c>
      <c r="D34" s="78" t="s">
        <v>116</v>
      </c>
    </row>
    <row r="35" spans="1:4">
      <c r="A35" s="147" t="s">
        <v>12</v>
      </c>
      <c r="B35" s="147"/>
      <c r="C35" s="79" t="s">
        <v>153</v>
      </c>
      <c r="D35" s="79" t="s">
        <v>154</v>
      </c>
    </row>
    <row r="36" spans="1:4">
      <c r="A36" s="143"/>
      <c r="B36" s="143"/>
      <c r="C36" s="77" t="s">
        <v>146</v>
      </c>
      <c r="D36" s="77" t="s">
        <v>77</v>
      </c>
    </row>
    <row r="37" spans="1:4">
      <c r="A37" s="146"/>
      <c r="B37" s="146"/>
      <c r="C37" s="78" t="s">
        <v>147</v>
      </c>
      <c r="D37" s="78" t="s">
        <v>117</v>
      </c>
    </row>
    <row r="38" spans="1:4" ht="15" customHeight="1">
      <c r="A38" s="147" t="s">
        <v>28</v>
      </c>
      <c r="B38" s="147"/>
      <c r="C38" s="79" t="s">
        <v>149</v>
      </c>
      <c r="D38" s="79" t="s">
        <v>116</v>
      </c>
    </row>
    <row r="39" spans="1:4" ht="15" customHeight="1">
      <c r="A39" s="146"/>
      <c r="B39" s="146"/>
      <c r="C39" s="78" t="s">
        <v>150</v>
      </c>
      <c r="D39" s="78" t="s">
        <v>116</v>
      </c>
    </row>
    <row r="40" spans="1:4" ht="15.75" customHeight="1">
      <c r="A40" s="147" t="s">
        <v>13</v>
      </c>
      <c r="B40" s="147"/>
      <c r="C40" s="77" t="s">
        <v>734</v>
      </c>
      <c r="D40" s="77" t="s">
        <v>702</v>
      </c>
    </row>
    <row r="41" spans="1:4" ht="15.75" customHeight="1">
      <c r="A41" s="146"/>
      <c r="B41" s="146"/>
      <c r="C41" s="78" t="s">
        <v>151</v>
      </c>
      <c r="D41" s="78" t="s">
        <v>117</v>
      </c>
    </row>
    <row r="42" spans="1:4" ht="15" customHeight="1">
      <c r="A42" s="148" t="s">
        <v>17</v>
      </c>
      <c r="B42" s="148"/>
      <c r="C42" s="78" t="s">
        <v>703</v>
      </c>
      <c r="D42" s="78" t="s">
        <v>702</v>
      </c>
    </row>
    <row r="43" spans="1:4" ht="15" customHeight="1">
      <c r="A43" s="148" t="s">
        <v>16</v>
      </c>
      <c r="B43" s="148"/>
      <c r="C43" s="7" t="s">
        <v>152</v>
      </c>
      <c r="D43" s="7" t="s">
        <v>109</v>
      </c>
    </row>
    <row r="44" spans="1:4">
      <c r="A44" s="147" t="s">
        <v>704</v>
      </c>
      <c r="B44" s="147"/>
      <c r="C44" s="78" t="s">
        <v>705</v>
      </c>
      <c r="D44" s="78" t="s">
        <v>702</v>
      </c>
    </row>
    <row r="45" spans="1:4">
      <c r="A45" s="148" t="s">
        <v>42</v>
      </c>
      <c r="B45" s="148"/>
      <c r="C45" s="7" t="s">
        <v>706</v>
      </c>
      <c r="D45" s="78" t="s">
        <v>702</v>
      </c>
    </row>
  </sheetData>
  <mergeCells count="15">
    <mergeCell ref="A45:B45"/>
    <mergeCell ref="A32:B34"/>
    <mergeCell ref="A35:B37"/>
    <mergeCell ref="A38:B39"/>
    <mergeCell ref="A44:B44"/>
    <mergeCell ref="A40:B41"/>
    <mergeCell ref="A42:B42"/>
    <mergeCell ref="A43:B43"/>
    <mergeCell ref="A1:B1"/>
    <mergeCell ref="A2:A31"/>
    <mergeCell ref="B3:B4"/>
    <mergeCell ref="B6:B12"/>
    <mergeCell ref="B13:B15"/>
    <mergeCell ref="B16:B25"/>
    <mergeCell ref="B26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ColWidth="9.140625" defaultRowHeight="15"/>
  <cols>
    <col min="1" max="1" width="6.85546875" style="81" bestFit="1" customWidth="1"/>
    <col min="2" max="2" width="33.85546875" style="81" bestFit="1" customWidth="1"/>
    <col min="3" max="3" width="23" style="81" bestFit="1" customWidth="1"/>
    <col min="4" max="4" width="14.5703125" style="81" bestFit="1" customWidth="1"/>
    <col min="5" max="16384" width="9.140625" style="13"/>
  </cols>
  <sheetData>
    <row r="1" spans="1:4" ht="15.75" customHeight="1" thickBot="1">
      <c r="A1" s="76" t="s">
        <v>2</v>
      </c>
      <c r="B1" s="76" t="s">
        <v>74</v>
      </c>
      <c r="C1" s="76" t="s">
        <v>1</v>
      </c>
      <c r="D1" s="76" t="s">
        <v>0</v>
      </c>
    </row>
    <row r="2" spans="1:4" ht="15.75" customHeight="1">
      <c r="A2" s="147" t="s">
        <v>23</v>
      </c>
      <c r="B2" s="79" t="s">
        <v>22</v>
      </c>
      <c r="C2" s="79" t="s">
        <v>18</v>
      </c>
      <c r="D2" s="79" t="s">
        <v>3</v>
      </c>
    </row>
    <row r="3" spans="1:4" ht="15.75" customHeight="1">
      <c r="A3" s="143"/>
      <c r="B3" s="77" t="s">
        <v>24</v>
      </c>
      <c r="C3" s="77" t="s">
        <v>26</v>
      </c>
      <c r="D3" s="77" t="s">
        <v>3</v>
      </c>
    </row>
    <row r="4" spans="1:4" ht="15.75" customHeight="1">
      <c r="A4" s="143"/>
      <c r="B4" s="77" t="s">
        <v>27</v>
      </c>
      <c r="C4" s="77" t="s">
        <v>26</v>
      </c>
      <c r="D4" s="77" t="s">
        <v>3</v>
      </c>
    </row>
    <row r="5" spans="1:4" ht="15.75" customHeight="1">
      <c r="A5" s="143"/>
      <c r="B5" s="77" t="s">
        <v>22</v>
      </c>
      <c r="C5" s="77" t="s">
        <v>31</v>
      </c>
      <c r="D5" s="77" t="s">
        <v>3</v>
      </c>
    </row>
    <row r="6" spans="1:4" ht="15.75" customHeight="1">
      <c r="A6" s="143"/>
      <c r="B6" s="77" t="s">
        <v>22</v>
      </c>
      <c r="C6" s="77" t="s">
        <v>32</v>
      </c>
      <c r="D6" s="77" t="s">
        <v>3</v>
      </c>
    </row>
    <row r="7" spans="1:4" ht="15.75" customHeight="1">
      <c r="A7" s="143"/>
      <c r="B7" s="77" t="s">
        <v>43</v>
      </c>
      <c r="C7" s="77" t="s">
        <v>43</v>
      </c>
      <c r="D7" s="77" t="s">
        <v>35</v>
      </c>
    </row>
    <row r="8" spans="1:4" ht="15.75" customHeight="1">
      <c r="A8" s="143"/>
      <c r="B8" s="77" t="s">
        <v>68</v>
      </c>
      <c r="C8" s="77" t="s">
        <v>67</v>
      </c>
      <c r="D8" s="77" t="s">
        <v>56</v>
      </c>
    </row>
    <row r="9" spans="1:4" ht="15.75" customHeight="1">
      <c r="A9" s="146"/>
      <c r="B9" s="78" t="s">
        <v>22</v>
      </c>
      <c r="C9" s="78" t="s">
        <v>70</v>
      </c>
      <c r="D9" s="78" t="s">
        <v>56</v>
      </c>
    </row>
    <row r="10" spans="1:4" ht="15.75" customHeight="1">
      <c r="A10" s="147" t="s">
        <v>34</v>
      </c>
      <c r="B10" s="79" t="s">
        <v>32</v>
      </c>
      <c r="C10" s="79" t="s">
        <v>32</v>
      </c>
      <c r="D10" s="79" t="s">
        <v>3</v>
      </c>
    </row>
    <row r="11" spans="1:4" ht="15.75" customHeight="1">
      <c r="A11" s="143"/>
      <c r="B11" s="77" t="s">
        <v>36</v>
      </c>
      <c r="C11" s="77" t="s">
        <v>36</v>
      </c>
      <c r="D11" s="77" t="s">
        <v>35</v>
      </c>
    </row>
    <row r="12" spans="1:4" ht="15.75" customHeight="1">
      <c r="A12" s="143"/>
      <c r="B12" s="77" t="s">
        <v>48</v>
      </c>
      <c r="C12" s="77" t="s">
        <v>47</v>
      </c>
      <c r="D12" s="77" t="s">
        <v>35</v>
      </c>
    </row>
    <row r="13" spans="1:4" ht="15.75" customHeight="1">
      <c r="A13" s="143"/>
      <c r="B13" s="77" t="s">
        <v>72</v>
      </c>
      <c r="C13" s="77" t="s">
        <v>72</v>
      </c>
      <c r="D13" s="77" t="s">
        <v>56</v>
      </c>
    </row>
    <row r="14" spans="1:4" ht="15.75" customHeight="1">
      <c r="A14" s="146"/>
      <c r="B14" s="78" t="s">
        <v>726</v>
      </c>
      <c r="C14" s="78" t="s">
        <v>724</v>
      </c>
      <c r="D14" s="78" t="s">
        <v>725</v>
      </c>
    </row>
    <row r="15" spans="1:4" ht="15.75" customHeight="1">
      <c r="A15" s="147" t="s">
        <v>12</v>
      </c>
      <c r="B15" s="79" t="s">
        <v>5</v>
      </c>
      <c r="C15" s="79" t="s">
        <v>4</v>
      </c>
      <c r="D15" s="79" t="s">
        <v>3</v>
      </c>
    </row>
    <row r="16" spans="1:4" ht="15.75" customHeight="1">
      <c r="A16" s="143"/>
      <c r="B16" s="77" t="s">
        <v>19</v>
      </c>
      <c r="C16" s="77" t="s">
        <v>18</v>
      </c>
      <c r="D16" s="77" t="s">
        <v>3</v>
      </c>
    </row>
    <row r="17" spans="1:4" ht="15.75" customHeight="1">
      <c r="A17" s="143"/>
      <c r="B17" s="77" t="s">
        <v>20</v>
      </c>
      <c r="C17" s="77" t="s">
        <v>18</v>
      </c>
      <c r="D17" s="77" t="s">
        <v>3</v>
      </c>
    </row>
    <row r="18" spans="1:4" ht="15.75" customHeight="1">
      <c r="A18" s="143"/>
      <c r="B18" s="77" t="s">
        <v>31</v>
      </c>
      <c r="C18" s="77" t="s">
        <v>31</v>
      </c>
      <c r="D18" s="77" t="s">
        <v>3</v>
      </c>
    </row>
    <row r="19" spans="1:4" ht="15.75" customHeight="1">
      <c r="A19" s="143"/>
      <c r="B19" s="77" t="s">
        <v>33</v>
      </c>
      <c r="C19" s="77" t="s">
        <v>32</v>
      </c>
      <c r="D19" s="77" t="s">
        <v>3</v>
      </c>
    </row>
    <row r="20" spans="1:4" ht="15.75" customHeight="1">
      <c r="A20" s="143"/>
      <c r="B20" s="77" t="s">
        <v>45</v>
      </c>
      <c r="C20" s="77" t="s">
        <v>43</v>
      </c>
      <c r="D20" s="77" t="s">
        <v>35</v>
      </c>
    </row>
    <row r="21" spans="1:4" ht="15.75" customHeight="1">
      <c r="A21" s="143"/>
      <c r="B21" s="77" t="s">
        <v>49</v>
      </c>
      <c r="C21" s="77" t="s">
        <v>47</v>
      </c>
      <c r="D21" s="77" t="s">
        <v>35</v>
      </c>
    </row>
    <row r="22" spans="1:4" ht="15.75" customHeight="1">
      <c r="A22" s="143"/>
      <c r="B22" s="77" t="s">
        <v>63</v>
      </c>
      <c r="C22" s="77" t="s">
        <v>62</v>
      </c>
      <c r="D22" s="77" t="s">
        <v>56</v>
      </c>
    </row>
    <row r="23" spans="1:4" ht="15.75" customHeight="1">
      <c r="A23" s="143"/>
      <c r="B23" s="77" t="s">
        <v>69</v>
      </c>
      <c r="C23" s="77" t="s">
        <v>69</v>
      </c>
      <c r="D23" s="77" t="s">
        <v>56</v>
      </c>
    </row>
    <row r="24" spans="1:4" ht="15.75" customHeight="1">
      <c r="A24" s="146"/>
      <c r="B24" s="78" t="s">
        <v>709</v>
      </c>
      <c r="C24" s="78" t="s">
        <v>707</v>
      </c>
      <c r="D24" s="78" t="s">
        <v>725</v>
      </c>
    </row>
    <row r="25" spans="1:4" s="20" customFormat="1" ht="15.75" customHeight="1">
      <c r="A25" s="147" t="s">
        <v>28</v>
      </c>
      <c r="B25" s="77" t="s">
        <v>55</v>
      </c>
      <c r="C25" s="77" t="s">
        <v>54</v>
      </c>
      <c r="D25" s="77" t="s">
        <v>35</v>
      </c>
    </row>
    <row r="26" spans="1:4" s="20" customFormat="1" ht="15.75" customHeight="1">
      <c r="A26" s="143"/>
      <c r="B26" s="77" t="s">
        <v>736</v>
      </c>
      <c r="C26" s="77" t="s">
        <v>54</v>
      </c>
      <c r="D26" s="77" t="s">
        <v>35</v>
      </c>
    </row>
    <row r="27" spans="1:4" s="20" customFormat="1" ht="15.75" customHeight="1">
      <c r="A27" s="143"/>
      <c r="B27" s="81" t="s">
        <v>720</v>
      </c>
      <c r="C27" s="81" t="s">
        <v>724</v>
      </c>
      <c r="D27" s="81" t="s">
        <v>725</v>
      </c>
    </row>
    <row r="28" spans="1:4" ht="15.75" customHeight="1">
      <c r="A28" s="143"/>
      <c r="B28" s="77" t="s">
        <v>25</v>
      </c>
      <c r="C28" s="77" t="s">
        <v>26</v>
      </c>
      <c r="D28" s="77" t="s">
        <v>3</v>
      </c>
    </row>
    <row r="29" spans="1:4" ht="15.75" customHeight="1">
      <c r="A29" s="143"/>
      <c r="B29" s="77" t="s">
        <v>50</v>
      </c>
      <c r="C29" s="77" t="s">
        <v>47</v>
      </c>
      <c r="D29" s="77" t="s">
        <v>35</v>
      </c>
    </row>
    <row r="30" spans="1:4" ht="15.75" customHeight="1">
      <c r="A30" s="143"/>
      <c r="B30" s="77" t="s">
        <v>65</v>
      </c>
      <c r="C30" s="77" t="s">
        <v>62</v>
      </c>
      <c r="D30" s="77" t="s">
        <v>56</v>
      </c>
    </row>
    <row r="31" spans="1:4" ht="15.75" customHeight="1">
      <c r="A31" s="143"/>
      <c r="B31" s="77" t="s">
        <v>711</v>
      </c>
      <c r="C31" s="77" t="s">
        <v>722</v>
      </c>
      <c r="D31" s="77" t="s">
        <v>725</v>
      </c>
    </row>
    <row r="32" spans="1:4" ht="15.75" customHeight="1">
      <c r="A32" s="143"/>
      <c r="B32" s="77" t="s">
        <v>719</v>
      </c>
      <c r="C32" s="77" t="s">
        <v>723</v>
      </c>
      <c r="D32" s="77" t="s">
        <v>725</v>
      </c>
    </row>
    <row r="33" spans="1:4" s="14" customFormat="1" ht="15.75" customHeight="1">
      <c r="A33" s="143"/>
      <c r="B33" s="81" t="s">
        <v>731</v>
      </c>
      <c r="C33" s="81" t="s">
        <v>731</v>
      </c>
      <c r="D33" s="81" t="s">
        <v>725</v>
      </c>
    </row>
    <row r="34" spans="1:4" ht="15.75" customHeight="1">
      <c r="A34" s="146"/>
      <c r="B34" s="77" t="s">
        <v>718</v>
      </c>
      <c r="C34" s="77" t="s">
        <v>723</v>
      </c>
      <c r="D34" s="77" t="s">
        <v>725</v>
      </c>
    </row>
    <row r="35" spans="1:4" ht="15.75" customHeight="1">
      <c r="A35" s="147" t="s">
        <v>13</v>
      </c>
      <c r="B35" s="79" t="s">
        <v>26</v>
      </c>
      <c r="C35" s="79" t="s">
        <v>26</v>
      </c>
      <c r="D35" s="79" t="s">
        <v>3</v>
      </c>
    </row>
    <row r="36" spans="1:4" ht="15.75" customHeight="1">
      <c r="A36" s="143"/>
      <c r="B36" s="77" t="s">
        <v>29</v>
      </c>
      <c r="C36" s="77" t="s">
        <v>29</v>
      </c>
      <c r="D36" s="77" t="s">
        <v>3</v>
      </c>
    </row>
    <row r="37" spans="1:4" ht="15.75" customHeight="1">
      <c r="A37" s="143"/>
      <c r="B37" s="77" t="s">
        <v>37</v>
      </c>
      <c r="C37" s="77" t="s">
        <v>37</v>
      </c>
      <c r="D37" s="77" t="s">
        <v>35</v>
      </c>
    </row>
    <row r="38" spans="1:4" ht="15.75" customHeight="1">
      <c r="A38" s="143"/>
      <c r="B38" s="77" t="s">
        <v>38</v>
      </c>
      <c r="C38" s="77" t="s">
        <v>37</v>
      </c>
      <c r="D38" s="77" t="s">
        <v>35</v>
      </c>
    </row>
    <row r="39" spans="1:4" ht="15.75" customHeight="1">
      <c r="A39" s="143"/>
      <c r="B39" s="77" t="s">
        <v>44</v>
      </c>
      <c r="C39" s="77" t="s">
        <v>43</v>
      </c>
      <c r="D39" s="77" t="s">
        <v>35</v>
      </c>
    </row>
    <row r="40" spans="1:4" ht="15.75" customHeight="1">
      <c r="A40" s="143"/>
      <c r="B40" s="77" t="s">
        <v>52</v>
      </c>
      <c r="C40" s="77" t="s">
        <v>51</v>
      </c>
      <c r="D40" s="77" t="s">
        <v>35</v>
      </c>
    </row>
    <row r="41" spans="1:4" ht="15.75" customHeight="1">
      <c r="A41" s="143"/>
      <c r="B41" s="77" t="s">
        <v>64</v>
      </c>
      <c r="C41" s="77" t="s">
        <v>62</v>
      </c>
      <c r="D41" s="77" t="s">
        <v>56</v>
      </c>
    </row>
    <row r="42" spans="1:4" ht="15.75" customHeight="1">
      <c r="A42" s="143"/>
      <c r="B42" s="77" t="s">
        <v>732</v>
      </c>
      <c r="C42" s="77" t="s">
        <v>721</v>
      </c>
      <c r="D42" s="77" t="s">
        <v>725</v>
      </c>
    </row>
    <row r="43" spans="1:4" s="14" customFormat="1" ht="15.75" customHeight="1">
      <c r="A43" s="146"/>
      <c r="B43" s="78" t="s">
        <v>708</v>
      </c>
      <c r="C43" s="78" t="s">
        <v>707</v>
      </c>
      <c r="D43" s="78" t="s">
        <v>725</v>
      </c>
    </row>
    <row r="44" spans="1:4" ht="15.75" customHeight="1">
      <c r="A44" s="147" t="s">
        <v>14</v>
      </c>
      <c r="B44" s="79" t="s">
        <v>4</v>
      </c>
      <c r="C44" s="79" t="s">
        <v>4</v>
      </c>
      <c r="D44" s="79" t="s">
        <v>3</v>
      </c>
    </row>
    <row r="45" spans="1:4" ht="15.75" customHeight="1">
      <c r="A45" s="143"/>
      <c r="B45" s="77" t="s">
        <v>6</v>
      </c>
      <c r="C45" s="77" t="s">
        <v>4</v>
      </c>
      <c r="D45" s="77" t="s">
        <v>3</v>
      </c>
    </row>
    <row r="46" spans="1:4" ht="15.75" customHeight="1">
      <c r="A46" s="143"/>
      <c r="B46" s="77" t="s">
        <v>10</v>
      </c>
      <c r="C46" s="77" t="s">
        <v>4</v>
      </c>
      <c r="D46" s="77" t="s">
        <v>3</v>
      </c>
    </row>
    <row r="47" spans="1:4" ht="15.75" customHeight="1">
      <c r="A47" s="143"/>
      <c r="B47" s="77" t="s">
        <v>39</v>
      </c>
      <c r="C47" s="77" t="s">
        <v>37</v>
      </c>
      <c r="D47" s="77" t="s">
        <v>35</v>
      </c>
    </row>
    <row r="48" spans="1:4" ht="15.75" customHeight="1">
      <c r="A48" s="143"/>
      <c r="B48" s="77" t="s">
        <v>71</v>
      </c>
      <c r="C48" s="77" t="s">
        <v>71</v>
      </c>
      <c r="D48" s="77" t="s">
        <v>56</v>
      </c>
    </row>
    <row r="49" spans="1:4" ht="15.75" customHeight="1">
      <c r="A49" s="143"/>
      <c r="B49" s="77" t="s">
        <v>712</v>
      </c>
      <c r="C49" s="77" t="s">
        <v>722</v>
      </c>
      <c r="D49" s="77" t="s">
        <v>725</v>
      </c>
    </row>
    <row r="50" spans="1:4" ht="15.75" customHeight="1">
      <c r="A50" s="146"/>
      <c r="B50" s="78" t="s">
        <v>715</v>
      </c>
      <c r="C50" s="78" t="s">
        <v>715</v>
      </c>
      <c r="D50" s="78" t="s">
        <v>725</v>
      </c>
    </row>
    <row r="51" spans="1:4" ht="15.75" customHeight="1">
      <c r="A51" s="147" t="s">
        <v>17</v>
      </c>
      <c r="B51" s="79" t="s">
        <v>11</v>
      </c>
      <c r="C51" s="79" t="s">
        <v>4</v>
      </c>
      <c r="D51" s="79" t="s">
        <v>3</v>
      </c>
    </row>
    <row r="52" spans="1:4" ht="15.75" customHeight="1">
      <c r="A52" s="143"/>
      <c r="B52" s="77" t="s">
        <v>53</v>
      </c>
      <c r="C52" s="77" t="s">
        <v>51</v>
      </c>
      <c r="D52" s="77" t="s">
        <v>35</v>
      </c>
    </row>
    <row r="53" spans="1:4" ht="15.75" customHeight="1">
      <c r="A53" s="143"/>
      <c r="B53" s="77" t="s">
        <v>60</v>
      </c>
      <c r="C53" s="77" t="s">
        <v>57</v>
      </c>
      <c r="D53" s="77" t="s">
        <v>56</v>
      </c>
    </row>
    <row r="54" spans="1:4" ht="15.75" customHeight="1">
      <c r="A54" s="143"/>
      <c r="B54" s="77" t="s">
        <v>66</v>
      </c>
      <c r="C54" s="77" t="s">
        <v>62</v>
      </c>
      <c r="D54" s="77" t="s">
        <v>56</v>
      </c>
    </row>
    <row r="55" spans="1:4" ht="15.75" customHeight="1">
      <c r="A55" s="146"/>
      <c r="B55" s="78" t="s">
        <v>714</v>
      </c>
      <c r="C55" s="78" t="s">
        <v>722</v>
      </c>
      <c r="D55" s="78" t="s">
        <v>725</v>
      </c>
    </row>
    <row r="56" spans="1:4" ht="15.75" customHeight="1">
      <c r="A56" s="147" t="s">
        <v>730</v>
      </c>
      <c r="B56" s="81" t="s">
        <v>710</v>
      </c>
      <c r="C56" s="81" t="s">
        <v>710</v>
      </c>
      <c r="D56" s="81" t="s">
        <v>725</v>
      </c>
    </row>
    <row r="57" spans="1:4" ht="15.75" customHeight="1">
      <c r="A57" s="149"/>
      <c r="B57" s="81" t="s">
        <v>721</v>
      </c>
      <c r="C57" s="81" t="s">
        <v>721</v>
      </c>
      <c r="D57" s="81" t="s">
        <v>725</v>
      </c>
    </row>
    <row r="58" spans="1:4" ht="15.75" customHeight="1">
      <c r="A58" s="147" t="s">
        <v>15</v>
      </c>
      <c r="B58" s="79" t="s">
        <v>7</v>
      </c>
      <c r="C58" s="79" t="s">
        <v>4</v>
      </c>
      <c r="D58" s="79" t="s">
        <v>3</v>
      </c>
    </row>
    <row r="59" spans="1:4" ht="15.75" customHeight="1">
      <c r="A59" s="143"/>
      <c r="B59" s="77" t="s">
        <v>18</v>
      </c>
      <c r="C59" s="77" t="s">
        <v>18</v>
      </c>
      <c r="D59" s="77" t="s">
        <v>3</v>
      </c>
    </row>
    <row r="60" spans="1:4" ht="15.75" customHeight="1">
      <c r="A60" s="143"/>
      <c r="B60" s="77" t="s">
        <v>21</v>
      </c>
      <c r="C60" s="77" t="s">
        <v>18</v>
      </c>
      <c r="D60" s="77" t="s">
        <v>3</v>
      </c>
    </row>
    <row r="61" spans="1:4" ht="15.75" customHeight="1">
      <c r="A61" s="143"/>
      <c r="B61" s="77" t="s">
        <v>30</v>
      </c>
      <c r="C61" s="77" t="s">
        <v>29</v>
      </c>
      <c r="D61" s="77" t="s">
        <v>3</v>
      </c>
    </row>
    <row r="62" spans="1:4" ht="15.75" customHeight="1">
      <c r="A62" s="143"/>
      <c r="B62" s="77" t="s">
        <v>204</v>
      </c>
      <c r="C62" s="77" t="s">
        <v>54</v>
      </c>
      <c r="D62" s="77" t="s">
        <v>35</v>
      </c>
    </row>
    <row r="63" spans="1:4" ht="15.75" customHeight="1">
      <c r="A63" s="143"/>
      <c r="B63" s="77" t="s">
        <v>57</v>
      </c>
      <c r="C63" s="77" t="s">
        <v>57</v>
      </c>
      <c r="D63" s="77" t="s">
        <v>56</v>
      </c>
    </row>
    <row r="64" spans="1:4" ht="15.75" customHeight="1">
      <c r="A64" s="143"/>
      <c r="B64" s="77" t="s">
        <v>58</v>
      </c>
      <c r="C64" s="77" t="s">
        <v>57</v>
      </c>
      <c r="D64" s="77" t="s">
        <v>56</v>
      </c>
    </row>
    <row r="65" spans="1:4" ht="15.75" customHeight="1">
      <c r="A65" s="143"/>
      <c r="B65" s="77" t="s">
        <v>59</v>
      </c>
      <c r="C65" s="77" t="s">
        <v>57</v>
      </c>
      <c r="D65" s="77" t="s">
        <v>56</v>
      </c>
    </row>
    <row r="66" spans="1:4" ht="15.75" customHeight="1">
      <c r="A66" s="143"/>
      <c r="B66" s="77" t="s">
        <v>61</v>
      </c>
      <c r="C66" s="77" t="s">
        <v>57</v>
      </c>
      <c r="D66" s="77" t="s">
        <v>56</v>
      </c>
    </row>
    <row r="67" spans="1:4" ht="15.75" customHeight="1">
      <c r="A67" s="143"/>
      <c r="B67" s="77" t="s">
        <v>62</v>
      </c>
      <c r="C67" s="77" t="s">
        <v>62</v>
      </c>
      <c r="D67" s="77" t="s">
        <v>56</v>
      </c>
    </row>
    <row r="68" spans="1:4" ht="15.75" customHeight="1">
      <c r="A68" s="146"/>
      <c r="B68" s="78" t="s">
        <v>713</v>
      </c>
      <c r="C68" s="78" t="s">
        <v>722</v>
      </c>
      <c r="D68" s="78" t="s">
        <v>725</v>
      </c>
    </row>
    <row r="69" spans="1:4">
      <c r="A69" s="7" t="s">
        <v>727</v>
      </c>
      <c r="B69" s="7" t="s">
        <v>716</v>
      </c>
      <c r="C69" s="7" t="s">
        <v>715</v>
      </c>
      <c r="D69" s="7" t="s">
        <v>725</v>
      </c>
    </row>
    <row r="70" spans="1:4" ht="15.75" customHeight="1">
      <c r="A70" s="147" t="s">
        <v>16</v>
      </c>
      <c r="B70" s="79" t="s">
        <v>8</v>
      </c>
      <c r="C70" s="79" t="s">
        <v>4</v>
      </c>
      <c r="D70" s="79" t="s">
        <v>3</v>
      </c>
    </row>
    <row r="71" spans="1:4" ht="15.75" customHeight="1">
      <c r="A71" s="143"/>
      <c r="B71" s="77" t="s">
        <v>9</v>
      </c>
      <c r="C71" s="77" t="s">
        <v>4</v>
      </c>
      <c r="D71" s="77" t="s">
        <v>3</v>
      </c>
    </row>
    <row r="72" spans="1:4" ht="15.75" customHeight="1">
      <c r="A72" s="146"/>
      <c r="B72" s="78" t="s">
        <v>46</v>
      </c>
      <c r="C72" s="78" t="s">
        <v>46</v>
      </c>
      <c r="D72" s="78" t="s">
        <v>35</v>
      </c>
    </row>
    <row r="73" spans="1:4">
      <c r="A73" s="78" t="s">
        <v>728</v>
      </c>
      <c r="B73" s="78" t="s">
        <v>717</v>
      </c>
      <c r="C73" s="78" t="s">
        <v>715</v>
      </c>
      <c r="D73" s="78" t="s">
        <v>725</v>
      </c>
    </row>
    <row r="74" spans="1:4">
      <c r="A74" s="77" t="s">
        <v>42</v>
      </c>
      <c r="B74" s="77" t="s">
        <v>41</v>
      </c>
      <c r="C74" s="77" t="s">
        <v>40</v>
      </c>
      <c r="D74" s="77" t="s">
        <v>35</v>
      </c>
    </row>
    <row r="75" spans="1:4">
      <c r="A75" s="7" t="s">
        <v>729</v>
      </c>
      <c r="B75" s="7" t="s">
        <v>707</v>
      </c>
      <c r="C75" s="7" t="s">
        <v>707</v>
      </c>
      <c r="D75" s="7" t="s">
        <v>725</v>
      </c>
    </row>
  </sheetData>
  <mergeCells count="10">
    <mergeCell ref="A70:A72"/>
    <mergeCell ref="A2:A9"/>
    <mergeCell ref="A10:A14"/>
    <mergeCell ref="A15:A24"/>
    <mergeCell ref="A44:A50"/>
    <mergeCell ref="A35:A43"/>
    <mergeCell ref="A25:A34"/>
    <mergeCell ref="A51:A55"/>
    <mergeCell ref="A56:A57"/>
    <mergeCell ref="A58:A6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ColWidth="9.140625" defaultRowHeight="15"/>
  <cols>
    <col min="1" max="1" width="8.140625" style="81" bestFit="1" customWidth="1"/>
    <col min="2" max="2" width="46.85546875" style="81" bestFit="1" customWidth="1"/>
    <col min="3" max="3" width="18.85546875" style="81" bestFit="1" customWidth="1"/>
    <col min="4" max="4" width="7.7109375" style="81" bestFit="1" customWidth="1"/>
    <col min="5" max="16384" width="9.140625" style="81"/>
  </cols>
  <sheetData>
    <row r="1" spans="1:4" ht="16.5" thickBot="1">
      <c r="A1" s="76" t="s">
        <v>2</v>
      </c>
      <c r="B1" s="76" t="s">
        <v>73</v>
      </c>
      <c r="C1" s="76" t="s">
        <v>0</v>
      </c>
      <c r="D1" s="76" t="s">
        <v>103</v>
      </c>
    </row>
    <row r="2" spans="1:4">
      <c r="A2" s="91" t="s">
        <v>86</v>
      </c>
      <c r="B2" s="91" t="s">
        <v>208</v>
      </c>
      <c r="C2" s="91" t="s">
        <v>208</v>
      </c>
      <c r="D2" s="91">
        <v>20</v>
      </c>
    </row>
    <row r="3" spans="1:4" ht="15.75" customHeight="1">
      <c r="A3" s="77" t="s">
        <v>86</v>
      </c>
      <c r="B3" s="77" t="s">
        <v>265</v>
      </c>
      <c r="C3" s="77" t="s">
        <v>439</v>
      </c>
      <c r="D3" s="77">
        <v>12</v>
      </c>
    </row>
    <row r="4" spans="1:4">
      <c r="A4" s="77" t="s">
        <v>86</v>
      </c>
      <c r="B4" s="78" t="s">
        <v>209</v>
      </c>
      <c r="C4" s="78" t="s">
        <v>110</v>
      </c>
      <c r="D4" s="78">
        <v>30</v>
      </c>
    </row>
    <row r="5" spans="1:4" ht="15.75" customHeight="1">
      <c r="A5" s="7" t="s">
        <v>205</v>
      </c>
      <c r="B5" s="7" t="s">
        <v>210</v>
      </c>
      <c r="C5" s="7" t="s">
        <v>439</v>
      </c>
      <c r="D5" s="7">
        <v>20</v>
      </c>
    </row>
    <row r="6" spans="1:4" ht="15.75" customHeight="1">
      <c r="A6" s="79" t="s">
        <v>95</v>
      </c>
      <c r="B6" s="79" t="s">
        <v>211</v>
      </c>
      <c r="C6" s="79" t="s">
        <v>434</v>
      </c>
      <c r="D6" s="79">
        <v>7</v>
      </c>
    </row>
    <row r="7" spans="1:4" ht="15.75" customHeight="1">
      <c r="A7" s="77" t="s">
        <v>95</v>
      </c>
      <c r="B7" s="77" t="s">
        <v>212</v>
      </c>
      <c r="C7" s="77" t="s">
        <v>110</v>
      </c>
      <c r="D7" s="77">
        <v>30</v>
      </c>
    </row>
    <row r="8" spans="1:4" ht="15.75" customHeight="1">
      <c r="A8" s="77" t="s">
        <v>95</v>
      </c>
      <c r="B8" s="77" t="s">
        <v>213</v>
      </c>
      <c r="C8" s="77" t="s">
        <v>437</v>
      </c>
      <c r="D8" s="77">
        <v>15</v>
      </c>
    </row>
    <row r="9" spans="1:4" ht="15.75" customHeight="1">
      <c r="A9" s="77" t="s">
        <v>95</v>
      </c>
      <c r="B9" s="77" t="s">
        <v>214</v>
      </c>
      <c r="C9" s="77" t="s">
        <v>439</v>
      </c>
      <c r="D9" s="77">
        <v>20</v>
      </c>
    </row>
    <row r="10" spans="1:4" ht="15.75" customHeight="1">
      <c r="A10" s="77" t="s">
        <v>95</v>
      </c>
      <c r="B10" s="77" t="s">
        <v>215</v>
      </c>
      <c r="C10" s="77" t="s">
        <v>437</v>
      </c>
      <c r="D10" s="77">
        <v>20</v>
      </c>
    </row>
    <row r="11" spans="1:4" ht="15.75" customHeight="1">
      <c r="A11" s="77" t="s">
        <v>95</v>
      </c>
      <c r="B11" s="77" t="s">
        <v>216</v>
      </c>
      <c r="C11" s="77" t="s">
        <v>110</v>
      </c>
      <c r="D11" s="77">
        <v>30</v>
      </c>
    </row>
    <row r="12" spans="1:4" ht="15.75" customHeight="1">
      <c r="A12" s="77" t="s">
        <v>95</v>
      </c>
      <c r="B12" s="78" t="s">
        <v>217</v>
      </c>
      <c r="C12" s="78" t="s">
        <v>439</v>
      </c>
      <c r="D12" s="78">
        <v>20</v>
      </c>
    </row>
    <row r="13" spans="1:4" ht="15.75" customHeight="1">
      <c r="A13" s="79" t="s">
        <v>206</v>
      </c>
      <c r="B13" s="79" t="s">
        <v>218</v>
      </c>
      <c r="C13" s="79" t="s">
        <v>110</v>
      </c>
      <c r="D13" s="79">
        <v>30</v>
      </c>
    </row>
    <row r="14" spans="1:4" ht="15.75" customHeight="1">
      <c r="A14" s="77" t="s">
        <v>206</v>
      </c>
      <c r="B14" s="77" t="s">
        <v>219</v>
      </c>
      <c r="C14" s="77" t="s">
        <v>436</v>
      </c>
      <c r="D14" s="77">
        <v>20</v>
      </c>
    </row>
    <row r="15" spans="1:4" ht="15.75" customHeight="1">
      <c r="A15" s="77" t="s">
        <v>206</v>
      </c>
      <c r="B15" s="77" t="s">
        <v>220</v>
      </c>
      <c r="C15" s="77" t="s">
        <v>436</v>
      </c>
      <c r="D15" s="77">
        <v>20</v>
      </c>
    </row>
    <row r="16" spans="1:4" ht="15.75" customHeight="1">
      <c r="A16" s="77" t="s">
        <v>206</v>
      </c>
      <c r="B16" s="78" t="s">
        <v>221</v>
      </c>
      <c r="C16" s="78" t="s">
        <v>436</v>
      </c>
      <c r="D16" s="78">
        <v>20</v>
      </c>
    </row>
    <row r="17" spans="1:4" ht="15.75" customHeight="1">
      <c r="A17" s="79" t="s">
        <v>126</v>
      </c>
      <c r="B17" s="79" t="s">
        <v>222</v>
      </c>
      <c r="C17" s="79" t="s">
        <v>208</v>
      </c>
      <c r="D17" s="79">
        <v>30</v>
      </c>
    </row>
    <row r="18" spans="1:4" ht="15.75" customHeight="1">
      <c r="A18" s="77" t="s">
        <v>126</v>
      </c>
      <c r="B18" s="77" t="s">
        <v>223</v>
      </c>
      <c r="C18" s="77" t="s">
        <v>433</v>
      </c>
      <c r="D18" s="77">
        <v>18</v>
      </c>
    </row>
    <row r="19" spans="1:4" ht="15.75" customHeight="1">
      <c r="A19" s="77" t="s">
        <v>126</v>
      </c>
      <c r="B19" s="77" t="s">
        <v>224</v>
      </c>
      <c r="C19" s="77" t="s">
        <v>434</v>
      </c>
      <c r="D19" s="77">
        <v>10</v>
      </c>
    </row>
    <row r="20" spans="1:4" ht="15.75" customHeight="1">
      <c r="A20" s="77" t="s">
        <v>126</v>
      </c>
      <c r="B20" s="77" t="s">
        <v>225</v>
      </c>
      <c r="C20" s="77" t="s">
        <v>439</v>
      </c>
      <c r="D20" s="77">
        <v>10</v>
      </c>
    </row>
    <row r="21" spans="1:4" ht="15.75" customHeight="1">
      <c r="A21" s="77" t="s">
        <v>126</v>
      </c>
      <c r="B21" s="77" t="s">
        <v>226</v>
      </c>
      <c r="C21" s="77" t="s">
        <v>435</v>
      </c>
      <c r="D21" s="77">
        <v>20</v>
      </c>
    </row>
    <row r="22" spans="1:4" ht="15.75" customHeight="1">
      <c r="A22" s="77" t="s">
        <v>126</v>
      </c>
      <c r="B22" s="78" t="s">
        <v>227</v>
      </c>
      <c r="C22" s="78" t="s">
        <v>250</v>
      </c>
      <c r="D22" s="78">
        <v>12</v>
      </c>
    </row>
    <row r="23" spans="1:4" ht="15.75" customHeight="1">
      <c r="A23" s="79" t="s">
        <v>207</v>
      </c>
      <c r="B23" s="79" t="s">
        <v>228</v>
      </c>
      <c r="C23" s="79" t="s">
        <v>437</v>
      </c>
      <c r="D23" s="79">
        <v>20</v>
      </c>
    </row>
    <row r="24" spans="1:4" ht="15.75" customHeight="1">
      <c r="A24" s="77" t="s">
        <v>207</v>
      </c>
      <c r="B24" s="77" t="s">
        <v>229</v>
      </c>
      <c r="C24" s="77" t="s">
        <v>439</v>
      </c>
      <c r="D24" s="77">
        <v>10</v>
      </c>
    </row>
    <row r="25" spans="1:4" ht="15.75" customHeight="1">
      <c r="A25" s="77" t="s">
        <v>207</v>
      </c>
      <c r="B25" s="77" t="s">
        <v>230</v>
      </c>
      <c r="C25" s="77" t="s">
        <v>435</v>
      </c>
      <c r="D25" s="77">
        <v>20</v>
      </c>
    </row>
    <row r="26" spans="1:4" ht="15.75" customHeight="1">
      <c r="A26" s="77" t="s">
        <v>207</v>
      </c>
      <c r="B26" s="77" t="s">
        <v>266</v>
      </c>
      <c r="C26" s="77" t="s">
        <v>438</v>
      </c>
      <c r="D26" s="77">
        <v>10</v>
      </c>
    </row>
    <row r="27" spans="1:4" ht="15.75" customHeight="1">
      <c r="A27" s="77" t="s">
        <v>207</v>
      </c>
      <c r="B27" s="77" t="s">
        <v>267</v>
      </c>
      <c r="C27" s="77" t="s">
        <v>439</v>
      </c>
      <c r="D27" s="77">
        <v>12</v>
      </c>
    </row>
    <row r="28" spans="1:4" ht="15.75" customHeight="1">
      <c r="A28" s="77" t="s">
        <v>207</v>
      </c>
      <c r="B28" s="77" t="s">
        <v>231</v>
      </c>
      <c r="C28" s="77" t="s">
        <v>208</v>
      </c>
      <c r="D28" s="77">
        <v>20</v>
      </c>
    </row>
    <row r="29" spans="1:4" ht="15.75" customHeight="1">
      <c r="A29" s="77" t="s">
        <v>207</v>
      </c>
      <c r="B29" s="77" t="s">
        <v>232</v>
      </c>
      <c r="C29" s="77" t="s">
        <v>241</v>
      </c>
      <c r="D29" s="77">
        <v>22</v>
      </c>
    </row>
    <row r="30" spans="1:4" ht="15.75" customHeight="1">
      <c r="A30" s="77" t="s">
        <v>207</v>
      </c>
      <c r="B30" s="78" t="s">
        <v>180</v>
      </c>
      <c r="C30" s="78" t="s">
        <v>432</v>
      </c>
      <c r="D30" s="78">
        <v>15</v>
      </c>
    </row>
    <row r="31" spans="1:4" ht="15" customHeight="1">
      <c r="A31" s="79" t="s">
        <v>234</v>
      </c>
      <c r="B31" s="79" t="s">
        <v>233</v>
      </c>
      <c r="C31" s="79" t="s">
        <v>250</v>
      </c>
      <c r="D31" s="79">
        <v>12</v>
      </c>
    </row>
    <row r="32" spans="1:4" ht="15.75" customHeight="1">
      <c r="A32" s="77" t="s">
        <v>234</v>
      </c>
      <c r="B32" s="77" t="s">
        <v>237</v>
      </c>
      <c r="C32" s="77" t="s">
        <v>434</v>
      </c>
      <c r="D32" s="77">
        <v>15</v>
      </c>
    </row>
    <row r="33" spans="1:4" ht="15.75" customHeight="1">
      <c r="A33" s="77" t="s">
        <v>234</v>
      </c>
      <c r="B33" s="77" t="s">
        <v>238</v>
      </c>
      <c r="C33" s="77" t="s">
        <v>437</v>
      </c>
      <c r="D33" s="77">
        <v>30</v>
      </c>
    </row>
    <row r="34" spans="1:4" ht="15.75" customHeight="1">
      <c r="A34" s="77" t="s">
        <v>234</v>
      </c>
      <c r="B34" s="77" t="s">
        <v>239</v>
      </c>
      <c r="C34" s="77" t="s">
        <v>439</v>
      </c>
      <c r="D34" s="77">
        <v>10</v>
      </c>
    </row>
    <row r="35" spans="1:4" ht="15.75" customHeight="1">
      <c r="A35" s="77" t="s">
        <v>234</v>
      </c>
      <c r="B35" s="78" t="s">
        <v>240</v>
      </c>
      <c r="C35" s="78" t="s">
        <v>436</v>
      </c>
      <c r="D35" s="78">
        <v>35</v>
      </c>
    </row>
    <row r="36" spans="1:4" ht="15.75" customHeight="1">
      <c r="A36" s="79" t="s">
        <v>235</v>
      </c>
      <c r="B36" s="79" t="s">
        <v>241</v>
      </c>
      <c r="C36" s="79" t="s">
        <v>241</v>
      </c>
      <c r="D36" s="79">
        <v>25</v>
      </c>
    </row>
    <row r="37" spans="1:4" ht="15.75" customHeight="1">
      <c r="A37" s="77" t="s">
        <v>235</v>
      </c>
      <c r="B37" s="77" t="s">
        <v>242</v>
      </c>
      <c r="C37" s="77" t="s">
        <v>433</v>
      </c>
      <c r="D37" s="77">
        <v>15</v>
      </c>
    </row>
    <row r="38" spans="1:4" ht="15.75" customHeight="1">
      <c r="A38" s="77" t="s">
        <v>235</v>
      </c>
      <c r="B38" s="77" t="s">
        <v>269</v>
      </c>
      <c r="C38" s="77" t="s">
        <v>438</v>
      </c>
      <c r="D38" s="77">
        <v>10</v>
      </c>
    </row>
    <row r="39" spans="1:4" ht="15.75" customHeight="1">
      <c r="A39" s="77" t="s">
        <v>235</v>
      </c>
      <c r="B39" s="77" t="s">
        <v>243</v>
      </c>
      <c r="C39" s="77" t="s">
        <v>435</v>
      </c>
      <c r="D39" s="77">
        <v>20</v>
      </c>
    </row>
    <row r="40" spans="1:4" ht="15.75" customHeight="1">
      <c r="A40" s="77" t="s">
        <v>235</v>
      </c>
      <c r="B40" s="77" t="s">
        <v>244</v>
      </c>
      <c r="C40" s="77" t="s">
        <v>244</v>
      </c>
      <c r="D40" s="77">
        <v>18</v>
      </c>
    </row>
    <row r="41" spans="1:4" ht="15.75" customHeight="1">
      <c r="A41" s="77" t="s">
        <v>235</v>
      </c>
      <c r="B41" s="77" t="s">
        <v>433</v>
      </c>
      <c r="C41" s="77" t="s">
        <v>433</v>
      </c>
      <c r="D41" s="77">
        <v>15</v>
      </c>
    </row>
    <row r="42" spans="1:4" ht="15.75" customHeight="1">
      <c r="A42" s="77" t="s">
        <v>235</v>
      </c>
      <c r="B42" s="77" t="s">
        <v>245</v>
      </c>
      <c r="C42" s="77" t="s">
        <v>432</v>
      </c>
      <c r="D42" s="77">
        <v>18</v>
      </c>
    </row>
    <row r="43" spans="1:4" ht="15.75" customHeight="1">
      <c r="A43" s="77" t="s">
        <v>235</v>
      </c>
      <c r="B43" s="77" t="s">
        <v>543</v>
      </c>
      <c r="C43" s="77" t="s">
        <v>436</v>
      </c>
      <c r="D43" s="77">
        <v>20</v>
      </c>
    </row>
    <row r="44" spans="1:4" ht="15.75" customHeight="1">
      <c r="A44" s="77" t="s">
        <v>235</v>
      </c>
      <c r="B44" s="78" t="s">
        <v>246</v>
      </c>
      <c r="C44" s="78" t="s">
        <v>433</v>
      </c>
      <c r="D44" s="78">
        <v>15</v>
      </c>
    </row>
    <row r="45" spans="1:4" ht="15.75" customHeight="1">
      <c r="A45" s="79" t="s">
        <v>236</v>
      </c>
      <c r="B45" s="79" t="s">
        <v>247</v>
      </c>
      <c r="C45" s="79" t="s">
        <v>241</v>
      </c>
      <c r="D45" s="79">
        <v>20</v>
      </c>
    </row>
    <row r="46" spans="1:4" ht="15.75" customHeight="1">
      <c r="A46" s="77" t="s">
        <v>236</v>
      </c>
      <c r="B46" s="77" t="s">
        <v>248</v>
      </c>
      <c r="C46" s="77" t="s">
        <v>439</v>
      </c>
      <c r="D46" s="77">
        <v>30</v>
      </c>
    </row>
    <row r="47" spans="1:4" ht="15.75" customHeight="1">
      <c r="A47" s="77" t="s">
        <v>236</v>
      </c>
      <c r="B47" s="77" t="s">
        <v>249</v>
      </c>
      <c r="C47" s="77" t="s">
        <v>436</v>
      </c>
      <c r="D47" s="77">
        <v>15</v>
      </c>
    </row>
    <row r="48" spans="1:4" ht="15.75" customHeight="1">
      <c r="A48" s="77" t="s">
        <v>236</v>
      </c>
      <c r="B48" s="78" t="s">
        <v>250</v>
      </c>
      <c r="C48" s="78" t="s">
        <v>250</v>
      </c>
      <c r="D48" s="78">
        <v>12</v>
      </c>
    </row>
    <row r="49" spans="1:4" ht="15.75" customHeight="1">
      <c r="A49" s="79" t="s">
        <v>251</v>
      </c>
      <c r="B49" s="79" t="s">
        <v>257</v>
      </c>
      <c r="C49" s="79" t="s">
        <v>436</v>
      </c>
      <c r="D49" s="79">
        <v>20</v>
      </c>
    </row>
    <row r="50" spans="1:4" ht="15.75" customHeight="1">
      <c r="A50" s="77" t="s">
        <v>251</v>
      </c>
      <c r="B50" s="77" t="s">
        <v>268</v>
      </c>
      <c r="C50" s="77" t="s">
        <v>437</v>
      </c>
      <c r="D50" s="77">
        <v>15</v>
      </c>
    </row>
    <row r="51" spans="1:4" ht="15.75" customHeight="1">
      <c r="A51" s="77" t="s">
        <v>251</v>
      </c>
      <c r="B51" s="77" t="s">
        <v>270</v>
      </c>
      <c r="C51" s="77" t="s">
        <v>432</v>
      </c>
      <c r="D51" s="77">
        <v>15</v>
      </c>
    </row>
    <row r="52" spans="1:4" ht="15.75" customHeight="1">
      <c r="A52" s="77" t="s">
        <v>251</v>
      </c>
      <c r="B52" s="78" t="s">
        <v>258</v>
      </c>
      <c r="C52" s="78" t="s">
        <v>241</v>
      </c>
      <c r="D52" s="78">
        <v>20</v>
      </c>
    </row>
    <row r="53" spans="1:4" ht="15.75" customHeight="1">
      <c r="A53" s="79" t="s">
        <v>252</v>
      </c>
      <c r="B53" s="79" t="s">
        <v>259</v>
      </c>
      <c r="C53" s="79" t="s">
        <v>436</v>
      </c>
      <c r="D53" s="79">
        <v>20</v>
      </c>
    </row>
    <row r="54" spans="1:4" ht="15.75" customHeight="1">
      <c r="A54" s="78" t="s">
        <v>252</v>
      </c>
      <c r="B54" s="78" t="s">
        <v>260</v>
      </c>
      <c r="C54" s="78" t="s">
        <v>436</v>
      </c>
      <c r="D54" s="78">
        <v>20</v>
      </c>
    </row>
    <row r="55" spans="1:4">
      <c r="A55" s="78" t="s">
        <v>253</v>
      </c>
      <c r="B55" s="7" t="s">
        <v>261</v>
      </c>
      <c r="C55" s="7" t="s">
        <v>436</v>
      </c>
      <c r="D55" s="7">
        <v>20</v>
      </c>
    </row>
    <row r="56" spans="1:4">
      <c r="A56" s="7" t="s">
        <v>254</v>
      </c>
      <c r="B56" s="7" t="s">
        <v>262</v>
      </c>
      <c r="C56" s="7" t="s">
        <v>208</v>
      </c>
      <c r="D56" s="7">
        <v>20</v>
      </c>
    </row>
    <row r="57" spans="1:4">
      <c r="A57" s="7" t="s">
        <v>255</v>
      </c>
      <c r="B57" s="7" t="s">
        <v>263</v>
      </c>
      <c r="C57" s="7" t="s">
        <v>438</v>
      </c>
      <c r="D57" s="7">
        <v>20</v>
      </c>
    </row>
    <row r="58" spans="1:4">
      <c r="A58" s="7" t="s">
        <v>256</v>
      </c>
      <c r="B58" s="7" t="s">
        <v>264</v>
      </c>
      <c r="C58" s="7" t="s">
        <v>432</v>
      </c>
      <c r="D58" s="7">
        <v>18</v>
      </c>
    </row>
    <row r="59" spans="1:4">
      <c r="D59" s="81" t="e">
        <f>SUM(#REF!)</f>
        <v>#REF!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E11" sqref="E11"/>
    </sheetView>
  </sheetViews>
  <sheetFormatPr defaultColWidth="9.140625" defaultRowHeight="15.75"/>
  <cols>
    <col min="1" max="1" width="22.42578125" style="11" bestFit="1" customWidth="1"/>
    <col min="2" max="2" width="38.42578125" style="10" bestFit="1" customWidth="1"/>
    <col min="3" max="3" width="12.140625" style="10" bestFit="1" customWidth="1"/>
    <col min="4" max="4" width="7.7109375" style="10" bestFit="1" customWidth="1"/>
    <col min="5" max="16384" width="9.140625" style="10"/>
  </cols>
  <sheetData>
    <row r="1" spans="1:4" s="6" customFormat="1" ht="16.5" thickBot="1">
      <c r="A1" s="76" t="s">
        <v>271</v>
      </c>
      <c r="B1" s="76" t="s">
        <v>73</v>
      </c>
      <c r="C1" s="76" t="s">
        <v>683</v>
      </c>
      <c r="D1" s="76" t="s">
        <v>103</v>
      </c>
    </row>
    <row r="2" spans="1:4">
      <c r="A2" s="52" t="s">
        <v>696</v>
      </c>
      <c r="B2" s="52" t="s">
        <v>693</v>
      </c>
      <c r="C2" s="52" t="s">
        <v>695</v>
      </c>
      <c r="D2" s="52" t="s">
        <v>694</v>
      </c>
    </row>
    <row r="3" spans="1:4">
      <c r="A3" s="12" t="s">
        <v>831</v>
      </c>
      <c r="B3" s="12" t="s">
        <v>828</v>
      </c>
      <c r="C3" s="12" t="s">
        <v>695</v>
      </c>
      <c r="D3" s="12" t="s">
        <v>694</v>
      </c>
    </row>
    <row r="4" spans="1:4">
      <c r="A4" s="52" t="s">
        <v>687</v>
      </c>
      <c r="B4" s="52" t="s">
        <v>684</v>
      </c>
      <c r="C4" s="52" t="s">
        <v>686</v>
      </c>
      <c r="D4" s="52" t="s">
        <v>685</v>
      </c>
    </row>
    <row r="5" spans="1:4">
      <c r="A5" s="52" t="s">
        <v>699</v>
      </c>
      <c r="B5" s="52" t="s">
        <v>689</v>
      </c>
      <c r="C5" s="52" t="s">
        <v>686</v>
      </c>
      <c r="D5" s="52"/>
    </row>
    <row r="6" spans="1:4">
      <c r="A6" s="52" t="s">
        <v>698</v>
      </c>
      <c r="B6" s="52" t="s">
        <v>692</v>
      </c>
      <c r="C6" s="52" t="s">
        <v>686</v>
      </c>
      <c r="D6" s="52"/>
    </row>
    <row r="7" spans="1:4">
      <c r="A7" s="52" t="s">
        <v>697</v>
      </c>
      <c r="B7" s="52" t="s">
        <v>690</v>
      </c>
      <c r="C7" s="52" t="s">
        <v>686</v>
      </c>
      <c r="D7" s="52"/>
    </row>
    <row r="8" spans="1:4">
      <c r="A8" s="10" t="s">
        <v>700</v>
      </c>
      <c r="B8" s="10" t="s">
        <v>691</v>
      </c>
      <c r="C8" s="10" t="s">
        <v>686</v>
      </c>
    </row>
    <row r="9" spans="1:4">
      <c r="A9" s="12" t="s">
        <v>700</v>
      </c>
      <c r="B9" s="12" t="s">
        <v>688</v>
      </c>
      <c r="C9" s="12" t="s">
        <v>686</v>
      </c>
      <c r="D9" s="12"/>
    </row>
    <row r="10" spans="1:4">
      <c r="A10" s="10" t="s">
        <v>841</v>
      </c>
      <c r="B10" s="10" t="s">
        <v>837</v>
      </c>
      <c r="C10" s="10" t="s">
        <v>843</v>
      </c>
    </row>
    <row r="11" spans="1:4">
      <c r="A11" s="10" t="s">
        <v>795</v>
      </c>
      <c r="B11" s="10" t="s">
        <v>839</v>
      </c>
      <c r="C11" s="10" t="s">
        <v>843</v>
      </c>
    </row>
    <row r="12" spans="1:4">
      <c r="A12" s="10" t="s">
        <v>842</v>
      </c>
      <c r="B12" s="10" t="s">
        <v>838</v>
      </c>
      <c r="C12" s="10" t="s">
        <v>843</v>
      </c>
    </row>
    <row r="13" spans="1:4">
      <c r="A13" s="12" t="s">
        <v>163</v>
      </c>
      <c r="B13" s="12" t="s">
        <v>840</v>
      </c>
      <c r="C13" s="12" t="s">
        <v>843</v>
      </c>
      <c r="D13" s="12"/>
    </row>
    <row r="14" spans="1:4">
      <c r="A14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8"/>
  <sheetViews>
    <sheetView zoomScale="90" zoomScaleNormal="90" workbookViewId="0">
      <selection activeCell="H52" sqref="H52"/>
    </sheetView>
  </sheetViews>
  <sheetFormatPr defaultColWidth="9.140625" defaultRowHeight="14.25"/>
  <cols>
    <col min="1" max="1" width="6.5703125" style="2" bestFit="1" customWidth="1"/>
    <col min="2" max="2" width="25.7109375" style="2" bestFit="1" customWidth="1"/>
    <col min="3" max="3" width="37.42578125" style="2" bestFit="1" customWidth="1"/>
    <col min="4" max="4" width="7.7109375" style="2" bestFit="1" customWidth="1"/>
    <col min="5" max="5" width="30.7109375" style="2" bestFit="1" customWidth="1"/>
    <col min="6" max="6" width="36.5703125" style="2" bestFit="1" customWidth="1"/>
    <col min="7" max="16384" width="9.140625" style="2"/>
  </cols>
  <sheetData>
    <row r="1" spans="1:6" ht="16.5" thickBot="1">
      <c r="B1" s="76" t="s">
        <v>271</v>
      </c>
      <c r="C1" s="76" t="s">
        <v>73</v>
      </c>
      <c r="D1" s="76" t="s">
        <v>103</v>
      </c>
      <c r="E1" s="76" t="s">
        <v>0</v>
      </c>
      <c r="F1" s="76" t="s">
        <v>509</v>
      </c>
    </row>
    <row r="2" spans="1:6">
      <c r="A2" s="152" t="s">
        <v>86</v>
      </c>
      <c r="B2" s="83" t="s">
        <v>272</v>
      </c>
      <c r="C2" s="83" t="s">
        <v>201</v>
      </c>
      <c r="D2" s="83" t="s">
        <v>277</v>
      </c>
      <c r="E2" s="83" t="s">
        <v>429</v>
      </c>
      <c r="F2" s="2" t="s">
        <v>517</v>
      </c>
    </row>
    <row r="3" spans="1:6" ht="14.25" customHeight="1">
      <c r="A3" s="152"/>
      <c r="B3" s="83" t="s">
        <v>273</v>
      </c>
      <c r="C3" s="83" t="s">
        <v>275</v>
      </c>
      <c r="D3" s="83" t="s">
        <v>278</v>
      </c>
      <c r="E3" s="83" t="s">
        <v>430</v>
      </c>
    </row>
    <row r="4" spans="1:6" ht="14.25" customHeight="1">
      <c r="A4" s="151"/>
      <c r="B4" s="84" t="s">
        <v>274</v>
      </c>
      <c r="C4" s="84" t="s">
        <v>276</v>
      </c>
      <c r="D4" s="84" t="s">
        <v>279</v>
      </c>
      <c r="E4" s="84" t="s">
        <v>431</v>
      </c>
      <c r="F4" s="84" t="s">
        <v>510</v>
      </c>
    </row>
    <row r="5" spans="1:6" ht="14.25" customHeight="1">
      <c r="A5" s="150" t="s">
        <v>95</v>
      </c>
      <c r="B5" s="82" t="s">
        <v>95</v>
      </c>
      <c r="C5" s="82" t="s">
        <v>280</v>
      </c>
      <c r="D5" s="82" t="s">
        <v>351</v>
      </c>
      <c r="E5" s="82" t="s">
        <v>440</v>
      </c>
    </row>
    <row r="6" spans="1:6" ht="14.25" customHeight="1">
      <c r="A6" s="152"/>
      <c r="B6" s="83" t="s">
        <v>353</v>
      </c>
      <c r="C6" s="83" t="s">
        <v>281</v>
      </c>
      <c r="D6" s="83" t="s">
        <v>350</v>
      </c>
      <c r="E6" s="83" t="s">
        <v>442</v>
      </c>
    </row>
    <row r="7" spans="1:6" ht="14.25" customHeight="1">
      <c r="A7" s="152"/>
      <c r="B7" s="83" t="s">
        <v>354</v>
      </c>
      <c r="C7" s="83" t="s">
        <v>282</v>
      </c>
      <c r="D7" s="83" t="s">
        <v>277</v>
      </c>
      <c r="E7" s="83" t="s">
        <v>443</v>
      </c>
    </row>
    <row r="8" spans="1:6" ht="14.25" customHeight="1">
      <c r="A8" s="152"/>
      <c r="B8" s="83" t="s">
        <v>355</v>
      </c>
      <c r="C8" s="83" t="s">
        <v>283</v>
      </c>
      <c r="D8" s="83" t="s">
        <v>351</v>
      </c>
      <c r="E8" s="83" t="s">
        <v>440</v>
      </c>
    </row>
    <row r="9" spans="1:6" ht="14.25" customHeight="1">
      <c r="A9" s="152"/>
      <c r="B9" s="83" t="s">
        <v>844</v>
      </c>
      <c r="C9" s="83" t="s">
        <v>284</v>
      </c>
      <c r="D9" s="83" t="s">
        <v>351</v>
      </c>
      <c r="E9" s="83" t="s">
        <v>429</v>
      </c>
      <c r="F9" s="2" t="s">
        <v>511</v>
      </c>
    </row>
    <row r="10" spans="1:6" ht="14.25" customHeight="1">
      <c r="A10" s="152"/>
      <c r="B10" s="83" t="s">
        <v>353</v>
      </c>
      <c r="C10" s="83" t="s">
        <v>285</v>
      </c>
      <c r="D10" s="83" t="s">
        <v>357</v>
      </c>
      <c r="E10" s="83" t="s">
        <v>429</v>
      </c>
      <c r="F10" s="83"/>
    </row>
    <row r="11" spans="1:6">
      <c r="A11" s="152"/>
      <c r="B11" s="83" t="s">
        <v>836</v>
      </c>
      <c r="C11" s="83" t="s">
        <v>286</v>
      </c>
      <c r="D11" s="83" t="s">
        <v>358</v>
      </c>
      <c r="E11" s="83" t="s">
        <v>429</v>
      </c>
      <c r="F11" s="2" t="s">
        <v>832</v>
      </c>
    </row>
    <row r="12" spans="1:6" ht="14.25" customHeight="1">
      <c r="A12" s="151"/>
      <c r="B12" s="84" t="s">
        <v>360</v>
      </c>
      <c r="C12" s="84" t="s">
        <v>287</v>
      </c>
      <c r="D12" s="84" t="s">
        <v>359</v>
      </c>
      <c r="E12" s="84" t="s">
        <v>442</v>
      </c>
      <c r="F12" s="84"/>
    </row>
    <row r="13" spans="1:6" ht="14.25" customHeight="1">
      <c r="A13" s="150" t="s">
        <v>122</v>
      </c>
      <c r="B13" s="82" t="s">
        <v>122</v>
      </c>
      <c r="C13" s="82" t="s">
        <v>288</v>
      </c>
      <c r="D13" s="82" t="s">
        <v>105</v>
      </c>
      <c r="E13" s="83" t="s">
        <v>444</v>
      </c>
    </row>
    <row r="14" spans="1:6" ht="14.25" customHeight="1">
      <c r="A14" s="152"/>
      <c r="B14" s="83" t="s">
        <v>362</v>
      </c>
      <c r="C14" s="83" t="s">
        <v>289</v>
      </c>
      <c r="D14" s="83" t="s">
        <v>361</v>
      </c>
      <c r="E14" s="83" t="s">
        <v>442</v>
      </c>
    </row>
    <row r="15" spans="1:6" ht="14.25" customHeight="1">
      <c r="A15" s="152"/>
      <c r="B15" s="83" t="s">
        <v>363</v>
      </c>
      <c r="C15" s="83" t="s">
        <v>290</v>
      </c>
      <c r="D15" s="83" t="s">
        <v>391</v>
      </c>
      <c r="E15" s="83" t="s">
        <v>443</v>
      </c>
      <c r="F15" s="83"/>
    </row>
    <row r="16" spans="1:6" ht="14.25" customHeight="1">
      <c r="A16" s="151"/>
      <c r="B16" s="84" t="s">
        <v>365</v>
      </c>
      <c r="C16" s="84" t="s">
        <v>291</v>
      </c>
      <c r="D16" s="84" t="s">
        <v>364</v>
      </c>
      <c r="E16" s="83" t="s">
        <v>442</v>
      </c>
      <c r="F16" s="84"/>
    </row>
    <row r="17" spans="1:6" ht="14.25" customHeight="1">
      <c r="A17" s="150" t="s">
        <v>126</v>
      </c>
      <c r="B17" s="82" t="s">
        <v>366</v>
      </c>
      <c r="C17" s="82" t="s">
        <v>292</v>
      </c>
      <c r="D17" s="82" t="s">
        <v>104</v>
      </c>
      <c r="E17" s="82" t="s">
        <v>445</v>
      </c>
      <c r="F17" s="83"/>
    </row>
    <row r="18" spans="1:6" ht="14.25" customHeight="1">
      <c r="A18" s="152"/>
      <c r="B18" s="83" t="s">
        <v>367</v>
      </c>
      <c r="C18" s="83" t="s">
        <v>293</v>
      </c>
      <c r="D18" s="83"/>
      <c r="E18" s="83" t="s">
        <v>431</v>
      </c>
      <c r="F18" s="83"/>
    </row>
    <row r="19" spans="1:6" ht="14.25" customHeight="1">
      <c r="A19" s="152"/>
      <c r="B19" s="83" t="s">
        <v>369</v>
      </c>
      <c r="C19" s="83" t="s">
        <v>294</v>
      </c>
      <c r="D19" s="83" t="s">
        <v>368</v>
      </c>
      <c r="E19" s="83" t="s">
        <v>429</v>
      </c>
      <c r="F19" s="2" t="s">
        <v>510</v>
      </c>
    </row>
    <row r="20" spans="1:6" ht="14.25" customHeight="1">
      <c r="A20" s="152"/>
      <c r="B20" s="83" t="s">
        <v>371</v>
      </c>
      <c r="C20" s="83" t="s">
        <v>295</v>
      </c>
      <c r="D20" s="83" t="s">
        <v>370</v>
      </c>
      <c r="E20" s="83" t="s">
        <v>442</v>
      </c>
    </row>
    <row r="21" spans="1:6" ht="14.25" customHeight="1">
      <c r="A21" s="152"/>
      <c r="B21" s="83" t="s">
        <v>373</v>
      </c>
      <c r="C21" s="83" t="s">
        <v>296</v>
      </c>
      <c r="D21" s="83" t="s">
        <v>372</v>
      </c>
      <c r="E21" s="83" t="s">
        <v>441</v>
      </c>
      <c r="F21" s="83"/>
    </row>
    <row r="22" spans="1:6" ht="14.25" customHeight="1">
      <c r="A22" s="152"/>
      <c r="B22" s="83" t="s">
        <v>375</v>
      </c>
      <c r="C22" s="83" t="s">
        <v>297</v>
      </c>
      <c r="D22" s="83" t="s">
        <v>374</v>
      </c>
      <c r="E22" s="83" t="s">
        <v>442</v>
      </c>
    </row>
    <row r="23" spans="1:6" ht="14.25" customHeight="1">
      <c r="A23" s="152"/>
      <c r="B23" s="83" t="s">
        <v>375</v>
      </c>
      <c r="C23" s="83" t="s">
        <v>298</v>
      </c>
      <c r="D23" s="83" t="s">
        <v>376</v>
      </c>
      <c r="E23" s="83" t="s">
        <v>444</v>
      </c>
    </row>
    <row r="24" spans="1:6" ht="14.25" customHeight="1">
      <c r="A24" s="151"/>
      <c r="B24" s="84" t="s">
        <v>378</v>
      </c>
      <c r="C24" s="84" t="s">
        <v>299</v>
      </c>
      <c r="D24" s="84" t="s">
        <v>377</v>
      </c>
      <c r="E24" s="84" t="s">
        <v>446</v>
      </c>
      <c r="F24" s="84"/>
    </row>
    <row r="25" spans="1:6" ht="14.25" customHeight="1">
      <c r="A25" s="150" t="s">
        <v>135</v>
      </c>
      <c r="B25" s="83" t="s">
        <v>507</v>
      </c>
      <c r="C25" s="83" t="s">
        <v>505</v>
      </c>
      <c r="D25" s="83" t="s">
        <v>506</v>
      </c>
      <c r="E25" s="83" t="s">
        <v>443</v>
      </c>
      <c r="F25" s="2" t="s">
        <v>508</v>
      </c>
    </row>
    <row r="26" spans="1:6" ht="14.25" customHeight="1">
      <c r="A26" s="152"/>
      <c r="B26" s="83" t="s">
        <v>392</v>
      </c>
      <c r="C26" s="83" t="s">
        <v>300</v>
      </c>
      <c r="D26" s="83" t="s">
        <v>379</v>
      </c>
      <c r="E26" s="83" t="s">
        <v>429</v>
      </c>
      <c r="F26" s="83" t="s">
        <v>513</v>
      </c>
    </row>
    <row r="27" spans="1:6" ht="14.25" customHeight="1">
      <c r="A27" s="152"/>
      <c r="B27" s="83" t="s">
        <v>393</v>
      </c>
      <c r="C27" s="83" t="s">
        <v>301</v>
      </c>
      <c r="D27" s="83" t="s">
        <v>351</v>
      </c>
      <c r="E27" s="83" t="s">
        <v>440</v>
      </c>
    </row>
    <row r="28" spans="1:6" ht="14.25" customHeight="1">
      <c r="A28" s="152"/>
      <c r="B28" s="83" t="s">
        <v>395</v>
      </c>
      <c r="C28" s="83" t="s">
        <v>302</v>
      </c>
      <c r="D28" s="83" t="s">
        <v>102</v>
      </c>
      <c r="E28" s="83" t="s">
        <v>447</v>
      </c>
    </row>
    <row r="29" spans="1:6" ht="14.25" customHeight="1">
      <c r="A29" s="152"/>
      <c r="B29" s="83" t="s">
        <v>394</v>
      </c>
      <c r="C29" s="83" t="s">
        <v>303</v>
      </c>
      <c r="D29" s="83" t="s">
        <v>380</v>
      </c>
      <c r="E29" s="83" t="s">
        <v>442</v>
      </c>
    </row>
    <row r="30" spans="1:6" ht="14.25" customHeight="1">
      <c r="A30" s="152"/>
      <c r="B30" s="83" t="s">
        <v>392</v>
      </c>
      <c r="C30" s="83" t="s">
        <v>304</v>
      </c>
      <c r="D30" s="83" t="s">
        <v>381</v>
      </c>
      <c r="E30" s="83" t="s">
        <v>429</v>
      </c>
      <c r="F30" s="2" t="s">
        <v>514</v>
      </c>
    </row>
    <row r="31" spans="1:6" ht="14.25" customHeight="1">
      <c r="A31" s="152"/>
      <c r="B31" s="83" t="s">
        <v>396</v>
      </c>
      <c r="C31" s="83" t="s">
        <v>305</v>
      </c>
      <c r="D31" s="83" t="s">
        <v>382</v>
      </c>
      <c r="E31" s="83" t="s">
        <v>448</v>
      </c>
      <c r="F31" s="2" t="s">
        <v>508</v>
      </c>
    </row>
    <row r="32" spans="1:6" ht="14.25" customHeight="1">
      <c r="A32" s="152"/>
      <c r="B32" s="83" t="s">
        <v>395</v>
      </c>
      <c r="C32" s="83" t="s">
        <v>306</v>
      </c>
      <c r="D32" s="83" t="s">
        <v>104</v>
      </c>
      <c r="E32" s="83" t="s">
        <v>449</v>
      </c>
      <c r="F32" s="83"/>
    </row>
    <row r="33" spans="1:6" ht="14.25" customHeight="1">
      <c r="A33" s="152"/>
      <c r="B33" s="83" t="s">
        <v>395</v>
      </c>
      <c r="C33" s="83" t="s">
        <v>307</v>
      </c>
      <c r="D33" s="83" t="s">
        <v>379</v>
      </c>
      <c r="E33" s="83" t="s">
        <v>448</v>
      </c>
    </row>
    <row r="34" spans="1:6" ht="14.25" customHeight="1">
      <c r="A34" s="152"/>
      <c r="B34" s="83" t="s">
        <v>395</v>
      </c>
      <c r="C34" s="83" t="s">
        <v>308</v>
      </c>
      <c r="D34" s="83" t="s">
        <v>381</v>
      </c>
      <c r="E34" s="83" t="s">
        <v>445</v>
      </c>
    </row>
    <row r="35" spans="1:6" s="1" customFormat="1" ht="14.25" customHeight="1">
      <c r="A35" s="152"/>
      <c r="B35" s="83" t="s">
        <v>398</v>
      </c>
      <c r="C35" s="83" t="s">
        <v>309</v>
      </c>
      <c r="D35" s="83" t="s">
        <v>383</v>
      </c>
      <c r="E35" s="83" t="s">
        <v>442</v>
      </c>
      <c r="F35" s="2"/>
    </row>
    <row r="36" spans="1:6" ht="14.25" customHeight="1">
      <c r="A36" s="152"/>
      <c r="B36" s="83" t="s">
        <v>399</v>
      </c>
      <c r="C36" s="83" t="s">
        <v>310</v>
      </c>
      <c r="D36" s="83" t="s">
        <v>278</v>
      </c>
      <c r="E36" s="83" t="s">
        <v>450</v>
      </c>
    </row>
    <row r="37" spans="1:6" ht="14.25" customHeight="1">
      <c r="A37" s="152"/>
      <c r="B37" s="83" t="s">
        <v>397</v>
      </c>
      <c r="C37" s="83" t="s">
        <v>311</v>
      </c>
      <c r="D37" s="83" t="s">
        <v>382</v>
      </c>
      <c r="E37" s="83" t="s">
        <v>440</v>
      </c>
    </row>
    <row r="38" spans="1:6" ht="14.25" customHeight="1">
      <c r="A38" s="152"/>
      <c r="B38" s="83" t="s">
        <v>400</v>
      </c>
      <c r="C38" s="83" t="s">
        <v>312</v>
      </c>
      <c r="D38" s="83" t="s">
        <v>350</v>
      </c>
      <c r="E38" s="83" t="s">
        <v>448</v>
      </c>
    </row>
    <row r="39" spans="1:6" ht="14.25" customHeight="1">
      <c r="A39" s="152"/>
      <c r="B39" s="83" t="s">
        <v>401</v>
      </c>
      <c r="C39" s="83" t="s">
        <v>313</v>
      </c>
      <c r="D39" s="83" t="s">
        <v>279</v>
      </c>
      <c r="E39" s="83" t="s">
        <v>443</v>
      </c>
      <c r="F39" s="83"/>
    </row>
    <row r="40" spans="1:6" ht="14.25" customHeight="1">
      <c r="A40" s="151"/>
      <c r="B40" s="84" t="s">
        <v>402</v>
      </c>
      <c r="C40" s="84" t="s">
        <v>314</v>
      </c>
      <c r="D40" s="84" t="s">
        <v>384</v>
      </c>
      <c r="E40" s="83" t="s">
        <v>443</v>
      </c>
      <c r="F40" s="84"/>
    </row>
    <row r="41" spans="1:6" ht="14.25" customHeight="1">
      <c r="A41" s="150" t="s">
        <v>234</v>
      </c>
      <c r="B41" s="82" t="s">
        <v>403</v>
      </c>
      <c r="C41" s="82" t="s">
        <v>315</v>
      </c>
      <c r="D41" s="82" t="s">
        <v>385</v>
      </c>
      <c r="E41" s="82" t="s">
        <v>431</v>
      </c>
    </row>
    <row r="42" spans="1:6" ht="14.25" customHeight="1">
      <c r="A42" s="152"/>
      <c r="B42" s="83" t="s">
        <v>404</v>
      </c>
      <c r="C42" s="83" t="s">
        <v>737</v>
      </c>
      <c r="D42" s="83" t="s">
        <v>351</v>
      </c>
      <c r="E42" s="83" t="s">
        <v>429</v>
      </c>
      <c r="F42" s="2" t="s">
        <v>515</v>
      </c>
    </row>
    <row r="43" spans="1:6" ht="14.25" customHeight="1">
      <c r="A43" s="152"/>
      <c r="B43" s="83" t="s">
        <v>855</v>
      </c>
      <c r="C43" s="83" t="s">
        <v>856</v>
      </c>
      <c r="D43" s="83"/>
      <c r="E43" s="83" t="s">
        <v>441</v>
      </c>
      <c r="F43" s="83"/>
    </row>
    <row r="44" spans="1:6" ht="14.25" customHeight="1">
      <c r="A44" s="152"/>
      <c r="B44" s="83" t="s">
        <v>404</v>
      </c>
      <c r="C44" s="83" t="s">
        <v>316</v>
      </c>
      <c r="D44" s="83" t="s">
        <v>380</v>
      </c>
      <c r="E44" s="83" t="s">
        <v>445</v>
      </c>
      <c r="F44" s="2" t="s">
        <v>516</v>
      </c>
    </row>
    <row r="45" spans="1:6" ht="14.25" customHeight="1">
      <c r="A45" s="152"/>
      <c r="B45" s="83" t="s">
        <v>405</v>
      </c>
      <c r="C45" s="83" t="s">
        <v>317</v>
      </c>
      <c r="D45" s="83" t="s">
        <v>379</v>
      </c>
      <c r="E45" s="83" t="s">
        <v>440</v>
      </c>
    </row>
    <row r="46" spans="1:6" ht="14.25" customHeight="1">
      <c r="A46" s="152"/>
      <c r="B46" s="83" t="s">
        <v>406</v>
      </c>
      <c r="C46" s="83" t="s">
        <v>318</v>
      </c>
      <c r="D46" s="83" t="s">
        <v>387</v>
      </c>
      <c r="E46" s="83" t="s">
        <v>442</v>
      </c>
      <c r="F46" s="83"/>
    </row>
    <row r="47" spans="1:6" ht="14.25" customHeight="1">
      <c r="A47" s="151"/>
      <c r="B47" s="84" t="s">
        <v>407</v>
      </c>
      <c r="C47" s="84" t="s">
        <v>319</v>
      </c>
      <c r="D47" s="84" t="s">
        <v>386</v>
      </c>
      <c r="E47" s="84" t="s">
        <v>431</v>
      </c>
      <c r="F47" s="84"/>
    </row>
    <row r="48" spans="1:6" ht="14.25" customHeight="1">
      <c r="A48" s="150" t="s">
        <v>235</v>
      </c>
      <c r="B48" s="82" t="s">
        <v>408</v>
      </c>
      <c r="C48" s="82" t="s">
        <v>320</v>
      </c>
      <c r="D48" s="82" t="s">
        <v>102</v>
      </c>
      <c r="E48" s="82" t="s">
        <v>451</v>
      </c>
    </row>
    <row r="49" spans="1:6" ht="14.25" customHeight="1">
      <c r="A49" s="152"/>
      <c r="B49" s="83" t="s">
        <v>409</v>
      </c>
      <c r="C49" s="83" t="s">
        <v>321</v>
      </c>
      <c r="D49" s="83" t="s">
        <v>358</v>
      </c>
      <c r="E49" s="83" t="s">
        <v>450</v>
      </c>
      <c r="F49" s="83"/>
    </row>
    <row r="50" spans="1:6" ht="14.25" customHeight="1">
      <c r="A50" s="152"/>
      <c r="B50" s="83" t="s">
        <v>410</v>
      </c>
      <c r="C50" s="83" t="s">
        <v>322</v>
      </c>
      <c r="D50" s="83" t="s">
        <v>278</v>
      </c>
      <c r="E50" s="83" t="s">
        <v>450</v>
      </c>
      <c r="F50" s="83"/>
    </row>
    <row r="51" spans="1:6" ht="14.25" customHeight="1">
      <c r="A51" s="152"/>
      <c r="B51" s="83" t="s">
        <v>410</v>
      </c>
      <c r="C51" s="83" t="s">
        <v>323</v>
      </c>
      <c r="D51" s="83" t="s">
        <v>381</v>
      </c>
      <c r="E51" s="83" t="s">
        <v>452</v>
      </c>
      <c r="F51" s="83"/>
    </row>
    <row r="52" spans="1:6" ht="14.25" customHeight="1">
      <c r="A52" s="152"/>
      <c r="B52" s="83" t="s">
        <v>411</v>
      </c>
      <c r="C52" s="83" t="s">
        <v>325</v>
      </c>
      <c r="D52" s="83" t="s">
        <v>104</v>
      </c>
      <c r="E52" s="83" t="s">
        <v>447</v>
      </c>
    </row>
    <row r="53" spans="1:6" ht="14.25" customHeight="1">
      <c r="A53" s="152"/>
      <c r="B53" s="83" t="s">
        <v>410</v>
      </c>
      <c r="C53" s="83" t="s">
        <v>324</v>
      </c>
      <c r="D53" s="83" t="s">
        <v>370</v>
      </c>
      <c r="E53" s="83" t="s">
        <v>453</v>
      </c>
    </row>
    <row r="54" spans="1:6" ht="14.25" customHeight="1">
      <c r="A54" s="151"/>
      <c r="B54" s="84" t="s">
        <v>829</v>
      </c>
      <c r="C54" s="84" t="s">
        <v>344</v>
      </c>
      <c r="D54" s="84" t="s">
        <v>390</v>
      </c>
      <c r="E54" s="84" t="s">
        <v>443</v>
      </c>
      <c r="F54" s="84" t="s">
        <v>830</v>
      </c>
    </row>
    <row r="55" spans="1:6" ht="14.25" customHeight="1">
      <c r="A55" s="150" t="s">
        <v>236</v>
      </c>
      <c r="B55" s="82" t="s">
        <v>412</v>
      </c>
      <c r="C55" s="82" t="s">
        <v>326</v>
      </c>
      <c r="D55" s="82" t="s">
        <v>351</v>
      </c>
      <c r="E55" s="82" t="s">
        <v>454</v>
      </c>
    </row>
    <row r="56" spans="1:6" ht="14.25" customHeight="1">
      <c r="A56" s="152"/>
      <c r="B56" s="83" t="s">
        <v>413</v>
      </c>
      <c r="C56" s="83" t="s">
        <v>327</v>
      </c>
      <c r="D56" s="83" t="s">
        <v>388</v>
      </c>
      <c r="E56" s="83" t="s">
        <v>452</v>
      </c>
    </row>
    <row r="57" spans="1:6" ht="14.25" customHeight="1">
      <c r="A57" s="152"/>
      <c r="B57" s="83" t="s">
        <v>414</v>
      </c>
      <c r="C57" s="83" t="s">
        <v>328</v>
      </c>
      <c r="D57" s="83" t="s">
        <v>381</v>
      </c>
      <c r="E57" s="83" t="s">
        <v>440</v>
      </c>
    </row>
    <row r="58" spans="1:6" ht="14.25" customHeight="1">
      <c r="A58" s="152"/>
      <c r="B58" s="83" t="s">
        <v>415</v>
      </c>
      <c r="C58" s="83" t="s">
        <v>329</v>
      </c>
      <c r="D58" s="83" t="s">
        <v>351</v>
      </c>
      <c r="E58" s="83" t="s">
        <v>429</v>
      </c>
    </row>
    <row r="59" spans="1:6" ht="14.25" customHeight="1">
      <c r="A59" s="152"/>
      <c r="B59" s="83" t="s">
        <v>412</v>
      </c>
      <c r="C59" s="83" t="s">
        <v>330</v>
      </c>
      <c r="D59" s="83" t="s">
        <v>105</v>
      </c>
      <c r="E59" s="83" t="s">
        <v>441</v>
      </c>
      <c r="F59" s="83"/>
    </row>
    <row r="60" spans="1:6" ht="14.25" customHeight="1">
      <c r="A60" s="152"/>
      <c r="B60" s="83" t="s">
        <v>412</v>
      </c>
      <c r="C60" s="83" t="s">
        <v>331</v>
      </c>
      <c r="D60" s="83" t="s">
        <v>389</v>
      </c>
      <c r="E60" s="83" t="s">
        <v>447</v>
      </c>
    </row>
    <row r="61" spans="1:6" ht="14.25" customHeight="1">
      <c r="A61" s="151"/>
      <c r="B61" s="84" t="s">
        <v>416</v>
      </c>
      <c r="C61" s="84" t="s">
        <v>332</v>
      </c>
      <c r="D61" s="84" t="s">
        <v>374</v>
      </c>
      <c r="E61" s="83" t="s">
        <v>443</v>
      </c>
      <c r="F61" s="84"/>
    </row>
    <row r="62" spans="1:6" ht="14.25" customHeight="1">
      <c r="A62" s="150" t="s">
        <v>251</v>
      </c>
      <c r="B62" s="82" t="s">
        <v>417</v>
      </c>
      <c r="C62" s="82" t="s">
        <v>333</v>
      </c>
      <c r="D62" s="82" t="s">
        <v>102</v>
      </c>
      <c r="E62" s="82" t="s">
        <v>429</v>
      </c>
      <c r="F62" s="2" t="s">
        <v>513</v>
      </c>
    </row>
    <row r="63" spans="1:6" ht="14.25" customHeight="1">
      <c r="A63" s="152"/>
      <c r="B63" s="83" t="s">
        <v>418</v>
      </c>
      <c r="C63" s="83" t="s">
        <v>334</v>
      </c>
      <c r="D63" s="83" t="s">
        <v>382</v>
      </c>
      <c r="E63" s="83" t="s">
        <v>445</v>
      </c>
    </row>
    <row r="64" spans="1:6" ht="14.25" customHeight="1">
      <c r="A64" s="152"/>
      <c r="B64" s="83" t="s">
        <v>419</v>
      </c>
      <c r="C64" s="83" t="s">
        <v>335</v>
      </c>
      <c r="D64" s="83" t="s">
        <v>381</v>
      </c>
      <c r="E64" s="83" t="s">
        <v>429</v>
      </c>
    </row>
    <row r="65" spans="1:6" ht="14.25" customHeight="1">
      <c r="A65" s="152"/>
      <c r="B65" s="83" t="s">
        <v>420</v>
      </c>
      <c r="C65" s="83" t="s">
        <v>336</v>
      </c>
      <c r="D65" s="83" t="s">
        <v>358</v>
      </c>
      <c r="E65" s="83" t="s">
        <v>429</v>
      </c>
    </row>
    <row r="66" spans="1:6" ht="14.25" customHeight="1">
      <c r="A66" s="152"/>
      <c r="B66" s="83" t="s">
        <v>418</v>
      </c>
      <c r="C66" s="83" t="s">
        <v>337</v>
      </c>
      <c r="D66" s="83" t="s">
        <v>380</v>
      </c>
      <c r="E66" s="83" t="s">
        <v>442</v>
      </c>
    </row>
    <row r="67" spans="1:6" ht="14.25" customHeight="1">
      <c r="A67" s="152"/>
      <c r="B67" s="83" t="s">
        <v>421</v>
      </c>
      <c r="C67" s="83" t="s">
        <v>338</v>
      </c>
      <c r="D67" s="83" t="s">
        <v>383</v>
      </c>
      <c r="E67" s="83" t="s">
        <v>442</v>
      </c>
    </row>
    <row r="68" spans="1:6" ht="14.25" customHeight="1">
      <c r="A68" s="152"/>
      <c r="B68" s="83" t="s">
        <v>422</v>
      </c>
      <c r="C68" s="83" t="s">
        <v>339</v>
      </c>
      <c r="D68" s="83" t="s">
        <v>379</v>
      </c>
      <c r="E68" s="83" t="s">
        <v>447</v>
      </c>
    </row>
    <row r="69" spans="1:6" ht="14.25" customHeight="1">
      <c r="A69" s="152"/>
      <c r="B69" s="83" t="s">
        <v>422</v>
      </c>
      <c r="C69" s="83" t="s">
        <v>340</v>
      </c>
      <c r="D69" s="83" t="s">
        <v>385</v>
      </c>
      <c r="E69" s="83" t="s">
        <v>447</v>
      </c>
      <c r="F69" s="83"/>
    </row>
    <row r="70" spans="1:6" ht="14.25" customHeight="1">
      <c r="A70" s="152"/>
      <c r="B70" s="83" t="s">
        <v>418</v>
      </c>
      <c r="C70" s="83" t="s">
        <v>341</v>
      </c>
      <c r="D70" s="83" t="s">
        <v>102</v>
      </c>
      <c r="E70" s="83" t="s">
        <v>447</v>
      </c>
    </row>
    <row r="71" spans="1:6" ht="14.25" customHeight="1">
      <c r="A71" s="152"/>
      <c r="B71" s="83" t="s">
        <v>423</v>
      </c>
      <c r="C71" s="83" t="s">
        <v>342</v>
      </c>
      <c r="D71" s="83" t="s">
        <v>351</v>
      </c>
      <c r="E71" s="83" t="s">
        <v>429</v>
      </c>
    </row>
    <row r="72" spans="1:6" ht="14.25" customHeight="1">
      <c r="A72" s="152"/>
      <c r="B72" s="83" t="s">
        <v>418</v>
      </c>
      <c r="C72" s="83" t="s">
        <v>343</v>
      </c>
      <c r="D72" s="83" t="s">
        <v>379</v>
      </c>
      <c r="E72" s="83" t="s">
        <v>452</v>
      </c>
      <c r="F72" s="83"/>
    </row>
    <row r="73" spans="1:6" ht="14.25" customHeight="1">
      <c r="A73" s="151"/>
      <c r="B73" s="83" t="s">
        <v>418</v>
      </c>
      <c r="C73" s="83" t="s">
        <v>180</v>
      </c>
      <c r="D73" s="83" t="s">
        <v>104</v>
      </c>
      <c r="E73" s="84" t="s">
        <v>452</v>
      </c>
      <c r="F73" s="84"/>
    </row>
    <row r="74" spans="1:6" ht="14.25" customHeight="1">
      <c r="A74" s="150" t="s">
        <v>252</v>
      </c>
      <c r="B74" s="82" t="s">
        <v>424</v>
      </c>
      <c r="C74" s="82" t="s">
        <v>345</v>
      </c>
      <c r="D74" s="82" t="s">
        <v>385</v>
      </c>
      <c r="E74" s="83" t="s">
        <v>447</v>
      </c>
    </row>
    <row r="75" spans="1:6" ht="14.25" customHeight="1">
      <c r="A75" s="152"/>
      <c r="B75" s="83" t="s">
        <v>425</v>
      </c>
      <c r="C75" s="83" t="s">
        <v>346</v>
      </c>
      <c r="D75" s="83" t="s">
        <v>358</v>
      </c>
      <c r="E75" s="83" t="s">
        <v>429</v>
      </c>
    </row>
    <row r="76" spans="1:6" ht="14.25" customHeight="1">
      <c r="A76" s="151"/>
      <c r="B76" s="84" t="s">
        <v>426</v>
      </c>
      <c r="C76" s="84" t="s">
        <v>347</v>
      </c>
      <c r="D76" s="84" t="s">
        <v>391</v>
      </c>
      <c r="E76" s="84" t="s">
        <v>443</v>
      </c>
      <c r="F76" s="84"/>
    </row>
    <row r="77" spans="1:6" ht="14.25" customHeight="1">
      <c r="A77" s="150" t="s">
        <v>253</v>
      </c>
      <c r="B77" s="82" t="s">
        <v>427</v>
      </c>
      <c r="C77" s="82" t="s">
        <v>348</v>
      </c>
      <c r="D77" s="82" t="s">
        <v>381</v>
      </c>
      <c r="E77" s="83" t="s">
        <v>441</v>
      </c>
    </row>
    <row r="78" spans="1:6" ht="14.25" customHeight="1">
      <c r="A78" s="151"/>
      <c r="B78" s="84" t="s">
        <v>428</v>
      </c>
      <c r="C78" s="84" t="s">
        <v>349</v>
      </c>
      <c r="D78" s="84" t="s">
        <v>278</v>
      </c>
      <c r="E78" s="84" t="s">
        <v>429</v>
      </c>
      <c r="F78" s="84"/>
    </row>
  </sheetData>
  <mergeCells count="11">
    <mergeCell ref="A77:A78"/>
    <mergeCell ref="A41:A47"/>
    <mergeCell ref="A2:A4"/>
    <mergeCell ref="A5:A12"/>
    <mergeCell ref="A13:A16"/>
    <mergeCell ref="A55:A61"/>
    <mergeCell ref="A74:A76"/>
    <mergeCell ref="A17:A24"/>
    <mergeCell ref="A25:A40"/>
    <mergeCell ref="A48:A54"/>
    <mergeCell ref="A62:A7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selection activeCell="E4" sqref="E4"/>
    </sheetView>
  </sheetViews>
  <sheetFormatPr defaultColWidth="9.140625" defaultRowHeight="15"/>
  <cols>
    <col min="1" max="1" width="6.5703125" style="81" bestFit="1" customWidth="1"/>
    <col min="2" max="2" width="26.42578125" style="81" bestFit="1" customWidth="1"/>
    <col min="3" max="3" width="9.140625" style="149"/>
    <col min="4" max="4" width="6.7109375" style="81" bestFit="1" customWidth="1"/>
    <col min="5" max="5" width="22.28515625" style="81" bestFit="1" customWidth="1"/>
    <col min="6" max="8" width="9.140625" style="81"/>
    <col min="9" max="16384" width="9.140625" style="6"/>
  </cols>
  <sheetData>
    <row r="1" spans="1:8" ht="15.75" customHeight="1" thickBot="1">
      <c r="A1" s="142" t="s">
        <v>455</v>
      </c>
      <c r="B1" s="142"/>
      <c r="D1" s="142" t="s">
        <v>456</v>
      </c>
      <c r="E1" s="142"/>
      <c r="F1" s="80"/>
      <c r="G1" s="142" t="s">
        <v>735</v>
      </c>
      <c r="H1" s="142"/>
    </row>
    <row r="2" spans="1:8" ht="16.5" thickBot="1">
      <c r="A2" s="8" t="s">
        <v>2</v>
      </c>
      <c r="B2" s="8" t="s">
        <v>73</v>
      </c>
      <c r="D2" s="8" t="s">
        <v>2</v>
      </c>
      <c r="E2" s="8" t="s">
        <v>73</v>
      </c>
      <c r="F2" s="80"/>
      <c r="G2" s="8" t="s">
        <v>2</v>
      </c>
      <c r="H2" s="8" t="s">
        <v>73</v>
      </c>
    </row>
    <row r="3" spans="1:8">
      <c r="A3" s="78">
        <v>5</v>
      </c>
      <c r="B3" s="78" t="s">
        <v>181</v>
      </c>
      <c r="D3" s="53">
        <v>5</v>
      </c>
      <c r="E3" s="53" t="s">
        <v>461</v>
      </c>
    </row>
    <row r="4" spans="1:8">
      <c r="A4" s="147" t="s">
        <v>185</v>
      </c>
      <c r="B4" s="79" t="s">
        <v>169</v>
      </c>
      <c r="D4" s="7" t="s">
        <v>458</v>
      </c>
      <c r="E4" s="7" t="s">
        <v>457</v>
      </c>
    </row>
    <row r="5" spans="1:8">
      <c r="A5" s="146"/>
      <c r="B5" s="78" t="s">
        <v>170</v>
      </c>
      <c r="D5" s="147" t="s">
        <v>185</v>
      </c>
      <c r="E5" s="79" t="s">
        <v>464</v>
      </c>
    </row>
    <row r="6" spans="1:8">
      <c r="A6" s="147" t="s">
        <v>184</v>
      </c>
      <c r="B6" s="79" t="s">
        <v>168</v>
      </c>
      <c r="D6" s="146"/>
      <c r="E6" s="78" t="s">
        <v>466</v>
      </c>
    </row>
    <row r="7" spans="1:8">
      <c r="A7" s="143"/>
      <c r="B7" s="77" t="s">
        <v>192</v>
      </c>
      <c r="D7" s="147" t="s">
        <v>184</v>
      </c>
      <c r="E7" s="79" t="s">
        <v>467</v>
      </c>
    </row>
    <row r="8" spans="1:8">
      <c r="A8" s="146"/>
      <c r="B8" s="78" t="s">
        <v>194</v>
      </c>
      <c r="D8" s="146"/>
      <c r="E8" s="78" t="s">
        <v>468</v>
      </c>
    </row>
    <row r="9" spans="1:8">
      <c r="A9" s="147" t="s">
        <v>188</v>
      </c>
      <c r="B9" s="79" t="s">
        <v>180</v>
      </c>
      <c r="D9" s="7" t="s">
        <v>188</v>
      </c>
      <c r="E9" s="7" t="s">
        <v>202</v>
      </c>
    </row>
    <row r="10" spans="1:8">
      <c r="A10" s="146"/>
      <c r="B10" s="78" t="s">
        <v>195</v>
      </c>
      <c r="D10" s="147" t="s">
        <v>163</v>
      </c>
      <c r="E10" s="79" t="s">
        <v>465</v>
      </c>
    </row>
    <row r="11" spans="1:8">
      <c r="A11" s="147" t="s">
        <v>163</v>
      </c>
      <c r="B11" s="79" t="s">
        <v>157</v>
      </c>
      <c r="D11" s="146"/>
      <c r="E11" s="78" t="s">
        <v>471</v>
      </c>
    </row>
    <row r="12" spans="1:8">
      <c r="A12" s="143"/>
      <c r="B12" s="77" t="s">
        <v>160</v>
      </c>
      <c r="D12" s="7" t="s">
        <v>162</v>
      </c>
      <c r="E12" s="7" t="s">
        <v>460</v>
      </c>
    </row>
    <row r="13" spans="1:8">
      <c r="A13" s="143"/>
      <c r="B13" s="77" t="s">
        <v>171</v>
      </c>
      <c r="D13" s="147" t="s">
        <v>161</v>
      </c>
      <c r="E13" s="81" t="s">
        <v>462</v>
      </c>
    </row>
    <row r="14" spans="1:8">
      <c r="A14" s="143"/>
      <c r="B14" s="77" t="s">
        <v>172</v>
      </c>
      <c r="D14" s="146"/>
      <c r="E14" s="78" t="s">
        <v>463</v>
      </c>
    </row>
    <row r="15" spans="1:8">
      <c r="A15" s="143"/>
      <c r="B15" s="77" t="s">
        <v>177</v>
      </c>
      <c r="D15" s="7" t="s">
        <v>187</v>
      </c>
      <c r="E15" s="7" t="s">
        <v>459</v>
      </c>
    </row>
    <row r="16" spans="1:8">
      <c r="A16" s="143"/>
      <c r="B16" s="77" t="s">
        <v>189</v>
      </c>
      <c r="D16" s="147" t="s">
        <v>186</v>
      </c>
      <c r="E16" s="81" t="s">
        <v>470</v>
      </c>
    </row>
    <row r="17" spans="1:5">
      <c r="A17" s="143"/>
      <c r="B17" s="77" t="s">
        <v>191</v>
      </c>
      <c r="D17" s="146"/>
      <c r="E17" s="78" t="s">
        <v>472</v>
      </c>
    </row>
    <row r="18" spans="1:5">
      <c r="A18" s="146"/>
      <c r="B18" s="78" t="s">
        <v>197</v>
      </c>
      <c r="D18" s="7" t="s">
        <v>165</v>
      </c>
      <c r="E18" s="7" t="s">
        <v>469</v>
      </c>
    </row>
    <row r="19" spans="1:5">
      <c r="A19" s="147" t="s">
        <v>162</v>
      </c>
      <c r="B19" s="79" t="s">
        <v>156</v>
      </c>
      <c r="D19" s="7">
        <v>9</v>
      </c>
      <c r="E19" s="7" t="s">
        <v>473</v>
      </c>
    </row>
    <row r="20" spans="1:5">
      <c r="A20" s="143"/>
      <c r="B20" s="77" t="s">
        <v>167</v>
      </c>
    </row>
    <row r="21" spans="1:5">
      <c r="A21" s="143"/>
      <c r="B21" s="77" t="s">
        <v>176</v>
      </c>
    </row>
    <row r="22" spans="1:5">
      <c r="A22" s="143"/>
      <c r="B22" s="77" t="s">
        <v>178</v>
      </c>
    </row>
    <row r="23" spans="1:5">
      <c r="A23" s="143"/>
      <c r="B23" s="77" t="s">
        <v>179</v>
      </c>
    </row>
    <row r="24" spans="1:5">
      <c r="A24" s="143"/>
      <c r="B24" s="77" t="s">
        <v>182</v>
      </c>
    </row>
    <row r="25" spans="1:5">
      <c r="A25" s="143"/>
      <c r="B25" s="77" t="s">
        <v>193</v>
      </c>
    </row>
    <row r="26" spans="1:5">
      <c r="A26" s="146"/>
      <c r="B26" s="78" t="s">
        <v>198</v>
      </c>
    </row>
    <row r="27" spans="1:5">
      <c r="A27" s="147" t="s">
        <v>161</v>
      </c>
      <c r="B27" s="79" t="s">
        <v>155</v>
      </c>
    </row>
    <row r="28" spans="1:5">
      <c r="A28" s="146"/>
      <c r="B28" s="78" t="s">
        <v>175</v>
      </c>
    </row>
    <row r="29" spans="1:5">
      <c r="A29" s="7" t="s">
        <v>187</v>
      </c>
      <c r="B29" s="7" t="s">
        <v>174</v>
      </c>
    </row>
    <row r="30" spans="1:5">
      <c r="A30" s="147" t="s">
        <v>186</v>
      </c>
      <c r="B30" s="79" t="s">
        <v>173</v>
      </c>
    </row>
    <row r="31" spans="1:5">
      <c r="A31" s="146"/>
      <c r="B31" s="78" t="s">
        <v>196</v>
      </c>
    </row>
    <row r="32" spans="1:5">
      <c r="A32" s="7" t="s">
        <v>165</v>
      </c>
      <c r="B32" s="7" t="s">
        <v>159</v>
      </c>
    </row>
    <row r="33" spans="1:2">
      <c r="A33" s="7" t="s">
        <v>183</v>
      </c>
      <c r="B33" s="7" t="s">
        <v>166</v>
      </c>
    </row>
    <row r="34" spans="1:2">
      <c r="A34" s="7" t="s">
        <v>199</v>
      </c>
      <c r="B34" s="7" t="s">
        <v>190</v>
      </c>
    </row>
    <row r="35" spans="1:2">
      <c r="A35" s="7" t="s">
        <v>164</v>
      </c>
      <c r="B35" s="7" t="s">
        <v>158</v>
      </c>
    </row>
  </sheetData>
  <sortState ref="D3:E19">
    <sortCondition ref="D3"/>
  </sortState>
  <mergeCells count="16">
    <mergeCell ref="G1:H1"/>
    <mergeCell ref="A1:B1"/>
    <mergeCell ref="D1:E1"/>
    <mergeCell ref="A27:A28"/>
    <mergeCell ref="A30:A31"/>
    <mergeCell ref="A4:A5"/>
    <mergeCell ref="A6:A8"/>
    <mergeCell ref="A9:A10"/>
    <mergeCell ref="A11:A18"/>
    <mergeCell ref="A19:A26"/>
    <mergeCell ref="D5:D6"/>
    <mergeCell ref="D7:D8"/>
    <mergeCell ref="D10:D11"/>
    <mergeCell ref="D13:D14"/>
    <mergeCell ref="D16:D17"/>
    <mergeCell ref="C1:C104857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selection sqref="A1:B1"/>
    </sheetView>
  </sheetViews>
  <sheetFormatPr defaultColWidth="9.140625" defaultRowHeight="14.25"/>
  <cols>
    <col min="1" max="1" width="6.5703125" style="2" bestFit="1" customWidth="1"/>
    <col min="2" max="2" width="26.5703125" style="2" bestFit="1" customWidth="1"/>
    <col min="3" max="4" width="9.140625" style="2"/>
    <col min="5" max="5" width="6.5703125" style="2" bestFit="1" customWidth="1"/>
    <col min="6" max="6" width="49.140625" style="2" bestFit="1" customWidth="1"/>
    <col min="7" max="16384" width="9.140625" style="2"/>
  </cols>
  <sheetData>
    <row r="1" spans="1:6" s="6" customFormat="1" ht="15.75" customHeight="1" thickBot="1">
      <c r="A1" s="142" t="s">
        <v>631</v>
      </c>
      <c r="B1" s="142"/>
      <c r="E1" s="142" t="s">
        <v>632</v>
      </c>
      <c r="F1" s="142"/>
    </row>
    <row r="2" spans="1:6" s="6" customFormat="1" ht="16.5" thickBot="1">
      <c r="A2" s="8" t="s">
        <v>2</v>
      </c>
      <c r="B2" s="8" t="s">
        <v>73</v>
      </c>
      <c r="E2" s="8" t="s">
        <v>2</v>
      </c>
      <c r="F2" s="8" t="s">
        <v>73</v>
      </c>
    </row>
    <row r="3" spans="1:6">
      <c r="A3" s="19">
        <v>6</v>
      </c>
      <c r="B3" s="19" t="s">
        <v>650</v>
      </c>
      <c r="E3" s="19" t="s">
        <v>645</v>
      </c>
      <c r="F3" s="19" t="s">
        <v>671</v>
      </c>
    </row>
    <row r="4" spans="1:6">
      <c r="A4" s="9" t="s">
        <v>645</v>
      </c>
      <c r="B4" s="9" t="s">
        <v>639</v>
      </c>
      <c r="E4" s="150" t="s">
        <v>163</v>
      </c>
      <c r="F4" s="16" t="s">
        <v>651</v>
      </c>
    </row>
    <row r="5" spans="1:6">
      <c r="A5" s="150" t="s">
        <v>163</v>
      </c>
      <c r="B5" s="16" t="s">
        <v>636</v>
      </c>
      <c r="E5" s="151"/>
      <c r="F5" s="18" t="s">
        <v>670</v>
      </c>
    </row>
    <row r="6" spans="1:6">
      <c r="A6" s="152"/>
      <c r="B6" s="17" t="s">
        <v>637</v>
      </c>
      <c r="E6" s="150" t="s">
        <v>162</v>
      </c>
      <c r="F6" s="16" t="s">
        <v>662</v>
      </c>
    </row>
    <row r="7" spans="1:6">
      <c r="A7" s="152"/>
      <c r="B7" s="17" t="s">
        <v>643</v>
      </c>
      <c r="E7" s="152"/>
      <c r="F7" s="17" t="s">
        <v>668</v>
      </c>
    </row>
    <row r="8" spans="1:6">
      <c r="A8" s="151"/>
      <c r="B8" s="18" t="s">
        <v>644</v>
      </c>
      <c r="E8" s="152"/>
      <c r="F8" s="17" t="s">
        <v>667</v>
      </c>
    </row>
    <row r="9" spans="1:6">
      <c r="A9" s="150" t="s">
        <v>162</v>
      </c>
      <c r="B9" s="5" t="s">
        <v>641</v>
      </c>
      <c r="E9" s="152"/>
      <c r="F9" s="17" t="s">
        <v>669</v>
      </c>
    </row>
    <row r="10" spans="1:6">
      <c r="A10" s="152"/>
      <c r="B10" s="3" t="s">
        <v>642</v>
      </c>
      <c r="E10" s="152"/>
      <c r="F10" s="17" t="s">
        <v>672</v>
      </c>
    </row>
    <row r="11" spans="1:6">
      <c r="A11" s="152"/>
      <c r="B11" s="3" t="s">
        <v>646</v>
      </c>
      <c r="E11" s="152"/>
      <c r="F11" s="17" t="s">
        <v>676</v>
      </c>
    </row>
    <row r="12" spans="1:6">
      <c r="A12" s="151"/>
      <c r="B12" s="4" t="s">
        <v>649</v>
      </c>
      <c r="E12" s="152"/>
      <c r="F12" s="17" t="s">
        <v>678</v>
      </c>
    </row>
    <row r="13" spans="1:6">
      <c r="A13" s="150" t="s">
        <v>161</v>
      </c>
      <c r="B13" s="5" t="s">
        <v>633</v>
      </c>
      <c r="E13" s="151"/>
      <c r="F13" s="18" t="s">
        <v>681</v>
      </c>
    </row>
    <row r="14" spans="1:6">
      <c r="A14" s="152"/>
      <c r="B14" s="3" t="s">
        <v>635</v>
      </c>
      <c r="E14" s="150" t="s">
        <v>161</v>
      </c>
      <c r="F14" s="5" t="s">
        <v>660</v>
      </c>
    </row>
    <row r="15" spans="1:6">
      <c r="A15" s="151"/>
      <c r="B15" s="4" t="s">
        <v>640</v>
      </c>
      <c r="E15" s="151"/>
      <c r="F15" s="4" t="s">
        <v>673</v>
      </c>
    </row>
    <row r="16" spans="1:6">
      <c r="A16" s="150" t="s">
        <v>187</v>
      </c>
      <c r="B16" s="5" t="s">
        <v>634</v>
      </c>
      <c r="E16" s="150" t="s">
        <v>187</v>
      </c>
      <c r="F16" s="5" t="s">
        <v>652</v>
      </c>
    </row>
    <row r="17" spans="1:6">
      <c r="A17" s="152"/>
      <c r="B17" s="3" t="s">
        <v>647</v>
      </c>
      <c r="E17" s="152"/>
      <c r="F17" s="3" t="s">
        <v>661</v>
      </c>
    </row>
    <row r="18" spans="1:6">
      <c r="A18" s="151"/>
      <c r="B18" s="4" t="s">
        <v>648</v>
      </c>
      <c r="E18" s="152"/>
      <c r="F18" s="3" t="s">
        <v>663</v>
      </c>
    </row>
    <row r="19" spans="1:6">
      <c r="A19" s="9" t="s">
        <v>165</v>
      </c>
      <c r="B19" s="9" t="s">
        <v>638</v>
      </c>
      <c r="E19" s="152"/>
      <c r="F19" s="3" t="s">
        <v>675</v>
      </c>
    </row>
    <row r="20" spans="1:6">
      <c r="E20" s="151"/>
      <c r="F20" s="4" t="s">
        <v>674</v>
      </c>
    </row>
    <row r="21" spans="1:6">
      <c r="E21" s="150" t="s">
        <v>186</v>
      </c>
      <c r="F21" s="5" t="s">
        <v>666</v>
      </c>
    </row>
    <row r="22" spans="1:6">
      <c r="E22" s="152"/>
      <c r="F22" s="3" t="s">
        <v>677</v>
      </c>
    </row>
    <row r="23" spans="1:6">
      <c r="E23" s="151"/>
      <c r="F23" s="4" t="s">
        <v>680</v>
      </c>
    </row>
    <row r="24" spans="1:6">
      <c r="E24" s="9" t="s">
        <v>664</v>
      </c>
      <c r="F24" s="9" t="s">
        <v>658</v>
      </c>
    </row>
    <row r="25" spans="1:6">
      <c r="E25" s="9" t="s">
        <v>165</v>
      </c>
      <c r="F25" s="9" t="s">
        <v>682</v>
      </c>
    </row>
    <row r="26" spans="1:6">
      <c r="E26" s="150" t="s">
        <v>183</v>
      </c>
      <c r="F26" s="5" t="s">
        <v>653</v>
      </c>
    </row>
    <row r="27" spans="1:6">
      <c r="E27" s="152"/>
      <c r="F27" s="3" t="s">
        <v>655</v>
      </c>
    </row>
    <row r="28" spans="1:6">
      <c r="E28" s="152"/>
      <c r="F28" s="3" t="s">
        <v>679</v>
      </c>
    </row>
    <row r="29" spans="1:6">
      <c r="E29" s="151"/>
      <c r="F29" s="4" t="s">
        <v>654</v>
      </c>
    </row>
    <row r="30" spans="1:6">
      <c r="E30" s="9" t="s">
        <v>199</v>
      </c>
      <c r="F30" s="9" t="s">
        <v>657</v>
      </c>
    </row>
    <row r="31" spans="1:6">
      <c r="E31" s="9" t="s">
        <v>665</v>
      </c>
      <c r="F31" s="9" t="s">
        <v>659</v>
      </c>
    </row>
    <row r="32" spans="1:6">
      <c r="E32" s="9" t="s">
        <v>202</v>
      </c>
      <c r="F32" s="9" t="s">
        <v>656</v>
      </c>
    </row>
  </sheetData>
  <sortState ref="E3:F32">
    <sortCondition ref="E3:E32"/>
  </sortState>
  <mergeCells count="12">
    <mergeCell ref="E21:E23"/>
    <mergeCell ref="E26:E29"/>
    <mergeCell ref="A1:B1"/>
    <mergeCell ref="E1:F1"/>
    <mergeCell ref="A5:A8"/>
    <mergeCell ref="A9:A12"/>
    <mergeCell ref="A13:A15"/>
    <mergeCell ref="A16:A18"/>
    <mergeCell ref="E4:E5"/>
    <mergeCell ref="E6:E13"/>
    <mergeCell ref="E14:E15"/>
    <mergeCell ref="E16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9"/>
  <sheetViews>
    <sheetView workbookViewId="0">
      <selection activeCell="E24" sqref="E24"/>
    </sheetView>
  </sheetViews>
  <sheetFormatPr defaultColWidth="9.140625" defaultRowHeight="12"/>
  <cols>
    <col min="1" max="1" width="20.5703125" style="58" bestFit="1" customWidth="1"/>
    <col min="2" max="2" width="5.85546875" style="58" bestFit="1" customWidth="1"/>
    <col min="3" max="3" width="10.140625" style="62" bestFit="1" customWidth="1"/>
    <col min="4" max="4" width="3.140625" style="58" customWidth="1"/>
    <col min="5" max="5" width="20.5703125" style="58" bestFit="1" customWidth="1"/>
    <col min="6" max="6" width="5.85546875" style="58" bestFit="1" customWidth="1"/>
    <col min="7" max="7" width="10.140625" style="62" bestFit="1" customWidth="1"/>
    <col min="8" max="8" width="3.28515625" style="62" customWidth="1"/>
    <col min="9" max="9" width="26.5703125" style="25" bestFit="1" customWidth="1"/>
    <col min="10" max="10" width="6" style="25" bestFit="1" customWidth="1"/>
    <col min="11" max="11" width="10.140625" style="24" bestFit="1" customWidth="1"/>
    <col min="12" max="12" width="3.140625" style="58" customWidth="1"/>
    <col min="13" max="13" width="16.85546875" style="58" bestFit="1" customWidth="1"/>
    <col min="14" max="14" width="5.85546875" style="58" bestFit="1" customWidth="1"/>
    <col min="15" max="15" width="10.140625" style="58" bestFit="1" customWidth="1"/>
    <col min="16" max="16" width="4" style="58" customWidth="1"/>
    <col min="17" max="17" width="16.140625" style="58" bestFit="1" customWidth="1"/>
    <col min="18" max="18" width="5.42578125" style="58" bestFit="1" customWidth="1"/>
    <col min="19" max="19" width="9.85546875" style="58" bestFit="1" customWidth="1"/>
    <col min="20" max="16384" width="9.140625" style="58"/>
  </cols>
  <sheetData>
    <row r="1" spans="1:19">
      <c r="A1" s="153" t="s">
        <v>875</v>
      </c>
      <c r="B1" s="153"/>
      <c r="C1" s="153"/>
      <c r="E1" s="153" t="s">
        <v>875</v>
      </c>
      <c r="F1" s="153"/>
      <c r="G1" s="153"/>
      <c r="I1" s="153" t="s">
        <v>875</v>
      </c>
      <c r="J1" s="153"/>
      <c r="K1" s="153"/>
      <c r="M1" s="153" t="s">
        <v>876</v>
      </c>
      <c r="N1" s="153"/>
      <c r="O1" s="153"/>
      <c r="Q1" s="153" t="s">
        <v>875</v>
      </c>
      <c r="R1" s="153"/>
      <c r="S1" s="153"/>
    </row>
    <row r="2" spans="1:19" s="24" customFormat="1" ht="13.5" thickBot="1">
      <c r="A2" s="22" t="s">
        <v>73</v>
      </c>
      <c r="B2" s="22" t="s">
        <v>103</v>
      </c>
      <c r="C2" s="23" t="s">
        <v>823</v>
      </c>
      <c r="E2" s="22" t="s">
        <v>73</v>
      </c>
      <c r="F2" s="22" t="s">
        <v>103</v>
      </c>
      <c r="G2" s="23" t="s">
        <v>823</v>
      </c>
      <c r="H2" s="55"/>
      <c r="I2" s="22" t="s">
        <v>73</v>
      </c>
      <c r="J2" s="22" t="s">
        <v>103</v>
      </c>
      <c r="K2" s="23" t="s">
        <v>823</v>
      </c>
      <c r="M2" s="22" t="s">
        <v>73</v>
      </c>
      <c r="N2" s="22" t="s">
        <v>103</v>
      </c>
      <c r="O2" s="23" t="s">
        <v>823</v>
      </c>
      <c r="P2" s="57"/>
      <c r="Q2" s="22" t="s">
        <v>73</v>
      </c>
      <c r="R2" s="22" t="s">
        <v>103</v>
      </c>
      <c r="S2" s="23" t="s">
        <v>823</v>
      </c>
    </row>
    <row r="3" spans="1:19" ht="12.75">
      <c r="A3" s="25" t="s">
        <v>540</v>
      </c>
      <c r="B3" s="27">
        <v>20</v>
      </c>
      <c r="C3" s="27">
        <f>B3</f>
        <v>20</v>
      </c>
      <c r="E3" s="25" t="s">
        <v>540</v>
      </c>
      <c r="F3" s="27">
        <v>20</v>
      </c>
      <c r="G3" s="27">
        <f>F3</f>
        <v>20</v>
      </c>
      <c r="H3" s="27"/>
      <c r="I3" s="25" t="s">
        <v>701</v>
      </c>
      <c r="J3" s="27">
        <v>65</v>
      </c>
      <c r="K3" s="59">
        <f>J3</f>
        <v>65</v>
      </c>
      <c r="M3" s="98" t="s">
        <v>82</v>
      </c>
      <c r="N3" s="98">
        <v>16</v>
      </c>
      <c r="O3" s="27">
        <f>N3</f>
        <v>16</v>
      </c>
      <c r="P3" s="57"/>
      <c r="Q3" s="27" t="s">
        <v>853</v>
      </c>
      <c r="R3" s="27">
        <v>22</v>
      </c>
      <c r="S3" s="27">
        <f>R3</f>
        <v>22</v>
      </c>
    </row>
    <row r="4" spans="1:19" ht="12.75">
      <c r="A4" s="25" t="s">
        <v>76</v>
      </c>
      <c r="B4" s="27">
        <v>24</v>
      </c>
      <c r="C4" s="27">
        <f t="shared" ref="C4:C15" si="0">C3+B4</f>
        <v>44</v>
      </c>
      <c r="E4" s="25" t="s">
        <v>76</v>
      </c>
      <c r="F4" s="27">
        <v>24</v>
      </c>
      <c r="G4" s="27">
        <f t="shared" ref="G4:G19" si="1">G3+F4</f>
        <v>44</v>
      </c>
      <c r="H4" s="27"/>
      <c r="I4" s="25" t="s">
        <v>849</v>
      </c>
      <c r="J4" s="27">
        <v>38</v>
      </c>
      <c r="K4" s="59">
        <f t="shared" ref="K4:K26" si="2">K3+J4</f>
        <v>103</v>
      </c>
      <c r="M4" s="98" t="s">
        <v>154</v>
      </c>
      <c r="N4" s="98">
        <v>20</v>
      </c>
      <c r="O4" s="27">
        <f t="shared" ref="O4:O10" si="3">N4+O3</f>
        <v>36</v>
      </c>
      <c r="P4" s="57"/>
      <c r="Q4" s="27" t="s">
        <v>701</v>
      </c>
      <c r="R4" s="27">
        <v>65</v>
      </c>
      <c r="S4" s="27">
        <f t="shared" ref="S4:S8" si="4">R4+S3</f>
        <v>87</v>
      </c>
    </row>
    <row r="5" spans="1:19" ht="12.75">
      <c r="A5" s="25" t="s">
        <v>82</v>
      </c>
      <c r="B5" s="27">
        <v>16</v>
      </c>
      <c r="C5" s="27">
        <f t="shared" si="0"/>
        <v>60</v>
      </c>
      <c r="E5" s="25" t="s">
        <v>82</v>
      </c>
      <c r="F5" s="27">
        <v>16</v>
      </c>
      <c r="G5" s="27">
        <f t="shared" si="1"/>
        <v>60</v>
      </c>
      <c r="H5" s="27"/>
      <c r="I5" s="25" t="s">
        <v>733</v>
      </c>
      <c r="J5" s="27">
        <v>103</v>
      </c>
      <c r="K5" s="59">
        <f t="shared" si="2"/>
        <v>206</v>
      </c>
      <c r="M5" s="98" t="s">
        <v>92</v>
      </c>
      <c r="N5" s="98">
        <v>22</v>
      </c>
      <c r="O5" s="27">
        <f t="shared" si="3"/>
        <v>58</v>
      </c>
      <c r="P5" s="57"/>
      <c r="Q5" s="27" t="s">
        <v>203</v>
      </c>
      <c r="R5" s="27">
        <v>100</v>
      </c>
      <c r="S5" s="27">
        <f t="shared" si="4"/>
        <v>187</v>
      </c>
    </row>
    <row r="6" spans="1:19" ht="12.75">
      <c r="A6" s="25" t="s">
        <v>154</v>
      </c>
      <c r="B6" s="27">
        <v>20</v>
      </c>
      <c r="C6" s="27">
        <f t="shared" si="0"/>
        <v>80</v>
      </c>
      <c r="E6" s="25" t="s">
        <v>154</v>
      </c>
      <c r="F6" s="27">
        <v>20</v>
      </c>
      <c r="G6" s="27">
        <f t="shared" si="1"/>
        <v>80</v>
      </c>
      <c r="H6" s="27"/>
      <c r="I6" s="25" t="s">
        <v>90</v>
      </c>
      <c r="J6" s="27">
        <v>85</v>
      </c>
      <c r="K6" s="59">
        <f t="shared" si="2"/>
        <v>291</v>
      </c>
      <c r="M6" s="98" t="s">
        <v>850</v>
      </c>
      <c r="N6" s="98">
        <v>25</v>
      </c>
      <c r="O6" s="27">
        <f t="shared" si="3"/>
        <v>83</v>
      </c>
      <c r="P6" s="57"/>
      <c r="Q6" s="27" t="s">
        <v>733</v>
      </c>
      <c r="R6" s="27">
        <v>103</v>
      </c>
      <c r="S6" s="27">
        <f t="shared" si="4"/>
        <v>290</v>
      </c>
    </row>
    <row r="7" spans="1:19" ht="12.75">
      <c r="A7" s="25" t="s">
        <v>518</v>
      </c>
      <c r="B7" s="27">
        <v>25</v>
      </c>
      <c r="C7" s="27">
        <f t="shared" si="0"/>
        <v>105</v>
      </c>
      <c r="E7" s="25" t="s">
        <v>518</v>
      </c>
      <c r="F7" s="27">
        <v>25</v>
      </c>
      <c r="G7" s="27">
        <f t="shared" si="1"/>
        <v>105</v>
      </c>
      <c r="H7" s="27"/>
      <c r="I7" s="25" t="s">
        <v>816</v>
      </c>
      <c r="J7" s="27">
        <v>76</v>
      </c>
      <c r="K7" s="59">
        <f t="shared" si="2"/>
        <v>367</v>
      </c>
      <c r="M7" s="98" t="s">
        <v>701</v>
      </c>
      <c r="N7" s="98">
        <v>65</v>
      </c>
      <c r="O7" s="27">
        <f t="shared" si="3"/>
        <v>148</v>
      </c>
      <c r="P7" s="57"/>
      <c r="Q7" s="27" t="s">
        <v>847</v>
      </c>
      <c r="R7" s="27">
        <v>85</v>
      </c>
      <c r="S7" s="27">
        <f t="shared" si="4"/>
        <v>375</v>
      </c>
    </row>
    <row r="8" spans="1:19" ht="12.75">
      <c r="A8" s="25" t="s">
        <v>537</v>
      </c>
      <c r="B8" s="27">
        <v>29</v>
      </c>
      <c r="C8" s="27">
        <f t="shared" si="0"/>
        <v>134</v>
      </c>
      <c r="E8" s="25" t="s">
        <v>537</v>
      </c>
      <c r="F8" s="27">
        <v>29</v>
      </c>
      <c r="G8" s="27">
        <f t="shared" si="1"/>
        <v>134</v>
      </c>
      <c r="H8" s="27"/>
      <c r="I8" s="25" t="s">
        <v>100</v>
      </c>
      <c r="J8" s="27">
        <v>50</v>
      </c>
      <c r="K8" s="59">
        <f t="shared" si="2"/>
        <v>417</v>
      </c>
      <c r="M8" s="98" t="s">
        <v>203</v>
      </c>
      <c r="N8" s="98">
        <v>100</v>
      </c>
      <c r="O8" s="27">
        <f t="shared" si="3"/>
        <v>248</v>
      </c>
      <c r="P8" s="57"/>
      <c r="Q8" s="27" t="s">
        <v>816</v>
      </c>
      <c r="R8" s="27">
        <v>76</v>
      </c>
      <c r="S8" s="27">
        <f t="shared" si="4"/>
        <v>451</v>
      </c>
    </row>
    <row r="9" spans="1:19" ht="12.75">
      <c r="A9" s="25" t="s">
        <v>607</v>
      </c>
      <c r="B9" s="27">
        <v>27</v>
      </c>
      <c r="C9" s="27">
        <f t="shared" si="0"/>
        <v>161</v>
      </c>
      <c r="E9" s="25" t="s">
        <v>607</v>
      </c>
      <c r="F9" s="27">
        <v>27</v>
      </c>
      <c r="G9" s="27">
        <f t="shared" si="1"/>
        <v>161</v>
      </c>
      <c r="H9" s="27"/>
      <c r="I9" s="25" t="s">
        <v>738</v>
      </c>
      <c r="J9" s="27">
        <v>35</v>
      </c>
      <c r="K9" s="59">
        <f t="shared" si="2"/>
        <v>452</v>
      </c>
      <c r="M9" s="98" t="s">
        <v>733</v>
      </c>
      <c r="N9" s="98">
        <v>103</v>
      </c>
      <c r="O9" s="27">
        <f t="shared" si="3"/>
        <v>351</v>
      </c>
      <c r="P9" s="57"/>
      <c r="Q9" s="56" t="s">
        <v>848</v>
      </c>
      <c r="R9" s="56">
        <v>50</v>
      </c>
      <c r="S9" s="56" t="s">
        <v>874</v>
      </c>
    </row>
    <row r="10" spans="1:19" ht="12.75">
      <c r="A10" s="25" t="s">
        <v>544</v>
      </c>
      <c r="B10" s="27">
        <v>25</v>
      </c>
      <c r="C10" s="27">
        <f t="shared" si="0"/>
        <v>186</v>
      </c>
      <c r="E10" s="25" t="s">
        <v>544</v>
      </c>
      <c r="F10" s="27">
        <v>25</v>
      </c>
      <c r="G10" s="27">
        <f t="shared" si="1"/>
        <v>186</v>
      </c>
      <c r="H10" s="27"/>
      <c r="I10" s="25" t="s">
        <v>203</v>
      </c>
      <c r="J10" s="27">
        <v>100</v>
      </c>
      <c r="K10" s="59">
        <f t="shared" si="2"/>
        <v>552</v>
      </c>
      <c r="M10" s="99" t="s">
        <v>847</v>
      </c>
      <c r="N10" s="99">
        <v>85</v>
      </c>
      <c r="O10" s="56">
        <f t="shared" si="3"/>
        <v>436</v>
      </c>
      <c r="P10" s="57"/>
      <c r="Q10" s="27"/>
      <c r="R10" s="27">
        <f>SUM(R3:R9)</f>
        <v>501</v>
      </c>
      <c r="S10" s="27"/>
    </row>
    <row r="11" spans="1:19" ht="12.75">
      <c r="A11" s="25" t="s">
        <v>84</v>
      </c>
      <c r="B11" s="27">
        <v>19</v>
      </c>
      <c r="C11" s="27">
        <f t="shared" si="0"/>
        <v>205</v>
      </c>
      <c r="E11" s="25" t="s">
        <v>84</v>
      </c>
      <c r="F11" s="27">
        <v>19</v>
      </c>
      <c r="G11" s="27">
        <f t="shared" si="1"/>
        <v>205</v>
      </c>
      <c r="H11" s="27"/>
      <c r="I11" s="25" t="s">
        <v>91</v>
      </c>
      <c r="J11" s="27">
        <v>14</v>
      </c>
      <c r="K11" s="60">
        <f t="shared" si="2"/>
        <v>566</v>
      </c>
      <c r="M11" s="27"/>
      <c r="N11" s="27">
        <f>SUM(N3:N10)</f>
        <v>436</v>
      </c>
      <c r="O11" s="27"/>
      <c r="P11" s="57"/>
      <c r="Q11" s="27"/>
      <c r="R11" s="27" t="s">
        <v>854</v>
      </c>
      <c r="S11" s="27"/>
    </row>
    <row r="12" spans="1:19" ht="12.75">
      <c r="A12" s="25" t="s">
        <v>817</v>
      </c>
      <c r="B12" s="27">
        <v>38</v>
      </c>
      <c r="C12" s="27">
        <f t="shared" si="0"/>
        <v>243</v>
      </c>
      <c r="E12" s="25" t="s">
        <v>817</v>
      </c>
      <c r="F12" s="27">
        <v>38</v>
      </c>
      <c r="G12" s="27">
        <f t="shared" si="1"/>
        <v>243</v>
      </c>
      <c r="H12" s="27"/>
      <c r="I12" s="25" t="s">
        <v>84</v>
      </c>
      <c r="J12" s="27">
        <v>19</v>
      </c>
      <c r="K12" s="59">
        <f t="shared" si="2"/>
        <v>585</v>
      </c>
      <c r="M12" s="27"/>
      <c r="N12" s="27" t="s">
        <v>852</v>
      </c>
      <c r="O12" s="27"/>
      <c r="P12" s="57"/>
    </row>
    <row r="13" spans="1:19" ht="12.75">
      <c r="A13" s="25" t="s">
        <v>701</v>
      </c>
      <c r="B13" s="27">
        <v>65</v>
      </c>
      <c r="C13" s="27">
        <f t="shared" si="0"/>
        <v>308</v>
      </c>
      <c r="E13" s="25" t="s">
        <v>701</v>
      </c>
      <c r="F13" s="27">
        <v>65</v>
      </c>
      <c r="G13" s="27">
        <f t="shared" si="1"/>
        <v>308</v>
      </c>
      <c r="H13" s="27"/>
      <c r="I13" s="25" t="s">
        <v>544</v>
      </c>
      <c r="J13" s="27">
        <v>25</v>
      </c>
      <c r="K13" s="59">
        <f t="shared" si="2"/>
        <v>610</v>
      </c>
    </row>
    <row r="14" spans="1:19" ht="12.75">
      <c r="A14" s="25" t="s">
        <v>203</v>
      </c>
      <c r="B14" s="27">
        <v>100</v>
      </c>
      <c r="C14" s="27">
        <f t="shared" si="0"/>
        <v>408</v>
      </c>
      <c r="E14" s="25" t="s">
        <v>203</v>
      </c>
      <c r="F14" s="27">
        <v>100</v>
      </c>
      <c r="G14" s="27">
        <f t="shared" si="1"/>
        <v>408</v>
      </c>
      <c r="H14" s="27"/>
      <c r="I14" s="25" t="s">
        <v>537</v>
      </c>
      <c r="J14" s="27">
        <v>29</v>
      </c>
      <c r="K14" s="59">
        <f t="shared" si="2"/>
        <v>639</v>
      </c>
    </row>
    <row r="15" spans="1:19" ht="13.5" thickBot="1">
      <c r="A15" s="100" t="s">
        <v>733</v>
      </c>
      <c r="B15" s="28">
        <v>103</v>
      </c>
      <c r="C15" s="28">
        <f t="shared" si="0"/>
        <v>511</v>
      </c>
      <c r="E15" s="25" t="s">
        <v>733</v>
      </c>
      <c r="F15" s="27">
        <v>103</v>
      </c>
      <c r="G15" s="27">
        <f t="shared" si="1"/>
        <v>511</v>
      </c>
      <c r="H15" s="27"/>
      <c r="I15" s="25" t="s">
        <v>607</v>
      </c>
      <c r="J15" s="27">
        <v>27</v>
      </c>
      <c r="K15" s="59">
        <f t="shared" si="2"/>
        <v>666</v>
      </c>
    </row>
    <row r="16" spans="1:19" ht="12.75">
      <c r="A16" s="29" t="s">
        <v>821</v>
      </c>
      <c r="B16" s="61">
        <f>C15</f>
        <v>511</v>
      </c>
      <c r="D16" s="62"/>
      <c r="E16" s="25" t="s">
        <v>90</v>
      </c>
      <c r="F16" s="27">
        <v>85</v>
      </c>
      <c r="G16" s="27">
        <f t="shared" si="1"/>
        <v>596</v>
      </c>
      <c r="H16" s="27"/>
      <c r="I16" s="25" t="s">
        <v>819</v>
      </c>
      <c r="J16" s="27">
        <v>25</v>
      </c>
      <c r="K16" s="59">
        <f t="shared" si="2"/>
        <v>691</v>
      </c>
    </row>
    <row r="17" spans="1:11" ht="12.75">
      <c r="B17" s="62"/>
      <c r="D17" s="62"/>
      <c r="E17" s="25" t="s">
        <v>100</v>
      </c>
      <c r="F17" s="27">
        <v>50</v>
      </c>
      <c r="G17" s="27">
        <f t="shared" si="1"/>
        <v>646</v>
      </c>
      <c r="H17" s="27"/>
      <c r="I17" s="25" t="s">
        <v>820</v>
      </c>
      <c r="J17" s="27">
        <v>35</v>
      </c>
      <c r="K17" s="59">
        <f t="shared" si="2"/>
        <v>726</v>
      </c>
    </row>
    <row r="18" spans="1:11" ht="12.75">
      <c r="A18" s="26"/>
      <c r="B18" s="25"/>
      <c r="C18" s="25"/>
      <c r="D18" s="62"/>
      <c r="E18" s="25" t="s">
        <v>738</v>
      </c>
      <c r="F18" s="27">
        <v>35</v>
      </c>
      <c r="G18" s="27">
        <f t="shared" si="1"/>
        <v>681</v>
      </c>
      <c r="H18" s="27"/>
      <c r="I18" s="25" t="s">
        <v>822</v>
      </c>
      <c r="J18" s="27">
        <v>44</v>
      </c>
      <c r="K18" s="59">
        <f t="shared" si="2"/>
        <v>770</v>
      </c>
    </row>
    <row r="19" spans="1:11" ht="13.5" thickBot="1">
      <c r="A19" s="25"/>
      <c r="B19" s="25"/>
      <c r="C19" s="25"/>
      <c r="D19" s="62"/>
      <c r="E19" s="100" t="s">
        <v>483</v>
      </c>
      <c r="F19" s="28">
        <v>25</v>
      </c>
      <c r="G19" s="28">
        <f t="shared" si="1"/>
        <v>706</v>
      </c>
      <c r="H19" s="27"/>
      <c r="I19" s="25" t="s">
        <v>82</v>
      </c>
      <c r="J19" s="27">
        <v>16</v>
      </c>
      <c r="K19" s="60">
        <f t="shared" si="2"/>
        <v>786</v>
      </c>
    </row>
    <row r="20" spans="1:11" ht="12.75">
      <c r="A20" s="26"/>
      <c r="B20" s="25"/>
      <c r="C20" s="25"/>
      <c r="D20" s="62"/>
      <c r="E20" s="29" t="s">
        <v>821</v>
      </c>
      <c r="F20" s="61">
        <f>G19</f>
        <v>706</v>
      </c>
      <c r="I20" s="25" t="s">
        <v>818</v>
      </c>
      <c r="J20" s="27">
        <v>50</v>
      </c>
      <c r="K20" s="59">
        <f t="shared" si="2"/>
        <v>836</v>
      </c>
    </row>
    <row r="21" spans="1:11" ht="12.75">
      <c r="A21" s="25"/>
      <c r="B21" s="25"/>
      <c r="C21" s="25"/>
      <c r="F21" s="62"/>
      <c r="I21" s="25" t="s">
        <v>474</v>
      </c>
      <c r="J21" s="27">
        <v>24</v>
      </c>
      <c r="K21" s="59">
        <f t="shared" si="2"/>
        <v>860</v>
      </c>
    </row>
    <row r="22" spans="1:11" ht="12.75">
      <c r="I22" s="25" t="s">
        <v>475</v>
      </c>
      <c r="J22" s="27">
        <v>23</v>
      </c>
      <c r="K22" s="59">
        <f t="shared" si="2"/>
        <v>883</v>
      </c>
    </row>
    <row r="23" spans="1:11" ht="12.75">
      <c r="I23" s="25" t="s">
        <v>476</v>
      </c>
      <c r="J23" s="27">
        <v>24</v>
      </c>
      <c r="K23" s="59">
        <f t="shared" si="2"/>
        <v>907</v>
      </c>
    </row>
    <row r="24" spans="1:11" ht="12.75">
      <c r="I24" s="25" t="s">
        <v>482</v>
      </c>
      <c r="J24" s="27">
        <v>29</v>
      </c>
      <c r="K24" s="59">
        <f t="shared" si="2"/>
        <v>936</v>
      </c>
    </row>
    <row r="25" spans="1:11" ht="12.75">
      <c r="I25" s="25" t="s">
        <v>83</v>
      </c>
      <c r="J25" s="27">
        <v>45</v>
      </c>
      <c r="K25" s="59">
        <f t="shared" si="2"/>
        <v>981</v>
      </c>
    </row>
    <row r="26" spans="1:11" ht="13.5" thickBot="1">
      <c r="I26" s="100" t="s">
        <v>98</v>
      </c>
      <c r="J26" s="28">
        <v>27</v>
      </c>
      <c r="K26" s="63">
        <f t="shared" si="2"/>
        <v>1008</v>
      </c>
    </row>
    <row r="27" spans="1:11" ht="12.75">
      <c r="I27" s="29" t="s">
        <v>821</v>
      </c>
      <c r="J27" s="61">
        <f>SUM(J3:J26)</f>
        <v>1008</v>
      </c>
      <c r="K27" s="64"/>
    </row>
    <row r="28" spans="1:11">
      <c r="I28" s="58"/>
      <c r="J28" s="25" t="s">
        <v>851</v>
      </c>
    </row>
    <row r="29" spans="1:11">
      <c r="I29" s="58"/>
    </row>
  </sheetData>
  <mergeCells count="5">
    <mergeCell ref="A1:C1"/>
    <mergeCell ref="E1:G1"/>
    <mergeCell ref="I1:K1"/>
    <mergeCell ref="Q1:S1"/>
    <mergeCell ref="M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B14" sqref="B14"/>
    </sheetView>
  </sheetViews>
  <sheetFormatPr defaultRowHeight="15"/>
  <cols>
    <col min="1" max="1" width="6.5703125" style="66" bestFit="1" customWidth="1"/>
    <col min="2" max="2" width="28.140625" style="66" bestFit="1" customWidth="1"/>
    <col min="3" max="3" width="35.28515625" style="66" bestFit="1" customWidth="1"/>
    <col min="4" max="4" width="12.5703125" style="66" bestFit="1" customWidth="1"/>
    <col min="5" max="5" width="7.7109375" style="66" bestFit="1" customWidth="1"/>
    <col min="6" max="16384" width="9.140625" style="66"/>
  </cols>
  <sheetData>
    <row r="1" spans="1:6" ht="15" customHeight="1">
      <c r="A1" s="67" t="s">
        <v>2</v>
      </c>
      <c r="B1" s="67" t="s">
        <v>73</v>
      </c>
      <c r="C1" s="67" t="s">
        <v>860</v>
      </c>
      <c r="D1" s="67" t="s">
        <v>0</v>
      </c>
      <c r="E1" s="67" t="s">
        <v>103</v>
      </c>
      <c r="F1" s="68"/>
    </row>
    <row r="2" spans="1:6">
      <c r="A2" s="70" t="s">
        <v>86</v>
      </c>
      <c r="B2" s="70" t="s">
        <v>85</v>
      </c>
      <c r="C2" s="70" t="s">
        <v>863</v>
      </c>
      <c r="D2" s="68" t="s">
        <v>82</v>
      </c>
      <c r="E2" s="68">
        <v>19</v>
      </c>
      <c r="F2" s="68"/>
    </row>
    <row r="3" spans="1:6">
      <c r="A3" s="70" t="s">
        <v>95</v>
      </c>
      <c r="B3" s="71" t="s">
        <v>835</v>
      </c>
      <c r="C3" s="68" t="s">
        <v>865</v>
      </c>
      <c r="D3" s="68" t="s">
        <v>4</v>
      </c>
      <c r="E3" s="68">
        <v>30</v>
      </c>
      <c r="F3" s="68"/>
    </row>
    <row r="4" spans="1:6">
      <c r="A4" s="68" t="s">
        <v>122</v>
      </c>
      <c r="B4" s="68" t="s">
        <v>547</v>
      </c>
      <c r="C4" s="68" t="s">
        <v>864</v>
      </c>
      <c r="D4" s="68" t="s">
        <v>4</v>
      </c>
      <c r="E4" s="70">
        <v>20</v>
      </c>
      <c r="F4" s="68"/>
    </row>
    <row r="5" spans="1:6">
      <c r="A5" s="68" t="s">
        <v>122</v>
      </c>
      <c r="B5" s="71" t="s">
        <v>867</v>
      </c>
      <c r="C5" s="71" t="s">
        <v>873</v>
      </c>
      <c r="D5" s="68" t="s">
        <v>4</v>
      </c>
      <c r="E5" s="68">
        <v>35</v>
      </c>
      <c r="F5" s="68"/>
    </row>
    <row r="6" spans="1:6">
      <c r="A6" s="68" t="s">
        <v>86</v>
      </c>
      <c r="B6" s="68" t="s">
        <v>80</v>
      </c>
      <c r="C6" s="68" t="s">
        <v>866</v>
      </c>
      <c r="D6" s="68" t="s">
        <v>519</v>
      </c>
      <c r="E6" s="68">
        <v>10</v>
      </c>
      <c r="F6" s="68"/>
    </row>
    <row r="7" spans="1:6">
      <c r="A7" s="68" t="s">
        <v>86</v>
      </c>
      <c r="B7" s="68" t="s">
        <v>80</v>
      </c>
      <c r="C7" s="68" t="s">
        <v>868</v>
      </c>
      <c r="D7" s="68" t="s">
        <v>519</v>
      </c>
      <c r="E7" s="68">
        <v>10</v>
      </c>
      <c r="F7" s="68"/>
    </row>
    <row r="8" spans="1:6">
      <c r="A8" s="68" t="s">
        <v>234</v>
      </c>
      <c r="B8" s="68" t="s">
        <v>590</v>
      </c>
      <c r="C8" s="71" t="s">
        <v>870</v>
      </c>
      <c r="D8" s="68" t="s">
        <v>521</v>
      </c>
      <c r="E8" s="68">
        <v>12</v>
      </c>
      <c r="F8" s="68"/>
    </row>
    <row r="9" spans="1:6">
      <c r="A9" s="70" t="s">
        <v>95</v>
      </c>
      <c r="B9" s="68" t="s">
        <v>536</v>
      </c>
      <c r="C9" s="68" t="s">
        <v>869</v>
      </c>
      <c r="D9" s="68" t="s">
        <v>521</v>
      </c>
      <c r="E9" s="68">
        <v>15</v>
      </c>
      <c r="F9" s="68"/>
    </row>
    <row r="10" spans="1:6">
      <c r="A10" s="70" t="s">
        <v>126</v>
      </c>
      <c r="B10" s="70" t="s">
        <v>833</v>
      </c>
      <c r="C10" s="70" t="s">
        <v>863</v>
      </c>
      <c r="D10" s="68" t="s">
        <v>521</v>
      </c>
      <c r="E10" s="70">
        <v>20</v>
      </c>
      <c r="F10" s="68"/>
    </row>
    <row r="11" spans="1:6" s="65" customFormat="1" ht="15.75">
      <c r="A11" s="72" t="s">
        <v>95</v>
      </c>
      <c r="B11" s="69" t="s">
        <v>542</v>
      </c>
      <c r="C11" s="69" t="s">
        <v>872</v>
      </c>
      <c r="D11" s="69" t="s">
        <v>109</v>
      </c>
      <c r="E11" s="69">
        <v>25</v>
      </c>
      <c r="F11" s="68"/>
    </row>
    <row r="12" spans="1:6">
      <c r="A12" s="68"/>
      <c r="B12" s="68"/>
      <c r="C12" s="68"/>
      <c r="D12" s="68"/>
      <c r="E12" s="68">
        <f>SUM(E2:E11)</f>
        <v>196</v>
      </c>
      <c r="F12" s="6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77"/>
  <sheetViews>
    <sheetView zoomScale="90" zoomScaleNormal="90" workbookViewId="0"/>
  </sheetViews>
  <sheetFormatPr defaultColWidth="9.140625" defaultRowHeight="18.75"/>
  <cols>
    <col min="1" max="1" width="15.85546875" style="51" bestFit="1" customWidth="1"/>
    <col min="2" max="2" width="14.140625" style="49" customWidth="1"/>
    <col min="3" max="3" width="17" style="50" bestFit="1" customWidth="1"/>
    <col min="4" max="4" width="30" style="33" bestFit="1" customWidth="1"/>
    <col min="5" max="5" width="6.28515625" style="49" bestFit="1" customWidth="1"/>
    <col min="6" max="6" width="26" style="33" bestFit="1" customWidth="1"/>
    <col min="7" max="7" width="8.7109375" style="33" bestFit="1" customWidth="1"/>
    <col min="8" max="8" width="21" style="33" bestFit="1" customWidth="1"/>
    <col min="9" max="9" width="6.28515625" style="33" bestFit="1" customWidth="1"/>
    <col min="10" max="10" width="9.140625" style="33"/>
    <col min="11" max="11" width="10.28515625" style="33" bestFit="1" customWidth="1"/>
    <col min="12" max="12" width="2.42578125" style="33" bestFit="1" customWidth="1"/>
    <col min="13" max="13" width="4.42578125" style="33" bestFit="1" customWidth="1"/>
    <col min="14" max="16384" width="9.140625" style="33"/>
  </cols>
  <sheetData>
    <row r="1" spans="1:9" ht="19.5" thickBot="1">
      <c r="A1" s="30"/>
      <c r="B1" s="31" t="s">
        <v>784</v>
      </c>
      <c r="C1" s="31" t="s">
        <v>683</v>
      </c>
      <c r="D1" s="31" t="s">
        <v>73</v>
      </c>
      <c r="E1" s="31" t="s">
        <v>815</v>
      </c>
      <c r="F1" s="31" t="s">
        <v>271</v>
      </c>
      <c r="G1" s="31" t="s">
        <v>103</v>
      </c>
      <c r="H1" s="31" t="s">
        <v>509</v>
      </c>
    </row>
    <row r="2" spans="1:9" ht="14.25" customHeight="1">
      <c r="A2" s="154" t="s">
        <v>778</v>
      </c>
      <c r="B2" s="155" t="s">
        <v>786</v>
      </c>
      <c r="C2" s="159" t="s">
        <v>812</v>
      </c>
      <c r="D2" s="34" t="s">
        <v>276</v>
      </c>
      <c r="E2" s="34">
        <v>1949</v>
      </c>
      <c r="F2" s="34" t="s">
        <v>274</v>
      </c>
      <c r="G2" s="34">
        <v>160</v>
      </c>
      <c r="H2" s="34" t="s">
        <v>510</v>
      </c>
      <c r="I2" s="49">
        <v>60</v>
      </c>
    </row>
    <row r="3" spans="1:9" s="35" customFormat="1" ht="14.25" customHeight="1">
      <c r="A3" s="154"/>
      <c r="B3" s="156"/>
      <c r="C3" s="160"/>
      <c r="D3" s="35" t="s">
        <v>285</v>
      </c>
      <c r="E3" s="35">
        <v>1946</v>
      </c>
      <c r="F3" s="35" t="s">
        <v>353</v>
      </c>
      <c r="G3" s="35">
        <v>125</v>
      </c>
      <c r="I3" s="35">
        <v>60</v>
      </c>
    </row>
    <row r="4" spans="1:9" s="35" customFormat="1" ht="14.25">
      <c r="A4" s="154"/>
      <c r="B4" s="156"/>
      <c r="C4" s="160"/>
      <c r="D4" s="35" t="s">
        <v>286</v>
      </c>
      <c r="E4" s="35">
        <v>1970</v>
      </c>
      <c r="F4" s="35" t="s">
        <v>356</v>
      </c>
      <c r="G4" s="35">
        <v>100</v>
      </c>
      <c r="H4" s="35" t="s">
        <v>512</v>
      </c>
      <c r="I4" s="35">
        <v>70</v>
      </c>
    </row>
    <row r="5" spans="1:9" s="35" customFormat="1" ht="14.25" customHeight="1">
      <c r="A5" s="154"/>
      <c r="B5" s="156"/>
      <c r="C5" s="160"/>
      <c r="D5" s="35" t="s">
        <v>294</v>
      </c>
      <c r="E5" s="35">
        <v>1948</v>
      </c>
      <c r="F5" s="35" t="s">
        <v>369</v>
      </c>
      <c r="G5" s="35">
        <v>85</v>
      </c>
      <c r="H5" s="35" t="s">
        <v>510</v>
      </c>
      <c r="I5" s="35">
        <v>50</v>
      </c>
    </row>
    <row r="6" spans="1:9" s="35" customFormat="1" ht="14.25" customHeight="1">
      <c r="A6" s="154"/>
      <c r="B6" s="156"/>
      <c r="C6" s="160"/>
      <c r="D6" s="35" t="s">
        <v>304</v>
      </c>
      <c r="E6" s="35">
        <v>1987</v>
      </c>
      <c r="F6" s="35" t="s">
        <v>392</v>
      </c>
      <c r="G6" s="35">
        <v>50</v>
      </c>
      <c r="H6" s="35" t="s">
        <v>514</v>
      </c>
      <c r="I6" s="35">
        <v>50</v>
      </c>
    </row>
    <row r="7" spans="1:9" s="35" customFormat="1" ht="14.25" customHeight="1">
      <c r="A7" s="154"/>
      <c r="B7" s="156"/>
      <c r="C7" s="160"/>
      <c r="D7" s="35" t="s">
        <v>316</v>
      </c>
      <c r="E7" s="35">
        <v>1987</v>
      </c>
      <c r="F7" s="35" t="s">
        <v>404</v>
      </c>
      <c r="G7" s="35">
        <v>120</v>
      </c>
      <c r="H7" s="35" t="s">
        <v>516</v>
      </c>
      <c r="I7" s="32">
        <v>80</v>
      </c>
    </row>
    <row r="8" spans="1:9" s="35" customFormat="1" ht="14.25" customHeight="1">
      <c r="A8" s="154"/>
      <c r="B8" s="156"/>
      <c r="C8" s="161"/>
      <c r="D8" s="36" t="s">
        <v>324</v>
      </c>
      <c r="E8" s="36">
        <v>1958</v>
      </c>
      <c r="F8" s="36" t="s">
        <v>410</v>
      </c>
      <c r="G8" s="36">
        <v>200</v>
      </c>
      <c r="H8" s="36"/>
      <c r="I8" s="36">
        <v>90</v>
      </c>
    </row>
    <row r="9" spans="1:9" s="35" customFormat="1" ht="14.25">
      <c r="A9" s="154"/>
      <c r="B9" s="156"/>
      <c r="C9" s="162" t="s">
        <v>813</v>
      </c>
      <c r="D9" s="37" t="s">
        <v>287</v>
      </c>
      <c r="E9" s="37">
        <v>1959</v>
      </c>
      <c r="F9" s="37" t="s">
        <v>360</v>
      </c>
      <c r="G9" s="37">
        <v>250</v>
      </c>
      <c r="H9" s="37"/>
      <c r="I9" s="35">
        <v>80</v>
      </c>
    </row>
    <row r="10" spans="1:9" s="35" customFormat="1" ht="14.25" customHeight="1">
      <c r="A10" s="154"/>
      <c r="B10" s="156"/>
      <c r="C10" s="160"/>
      <c r="D10" s="35" t="s">
        <v>289</v>
      </c>
      <c r="E10" s="35">
        <v>1954</v>
      </c>
      <c r="F10" s="35" t="s">
        <v>362</v>
      </c>
      <c r="G10" s="35">
        <v>230</v>
      </c>
      <c r="I10" s="35">
        <v>80</v>
      </c>
    </row>
    <row r="11" spans="1:9" s="35" customFormat="1" ht="15" customHeight="1">
      <c r="A11" s="154"/>
      <c r="B11" s="156"/>
      <c r="C11" s="160"/>
      <c r="D11" s="35" t="s">
        <v>295</v>
      </c>
      <c r="E11" s="35">
        <v>1964</v>
      </c>
      <c r="F11" s="35" t="s">
        <v>371</v>
      </c>
      <c r="G11" s="35">
        <v>200</v>
      </c>
      <c r="I11" s="35">
        <v>80</v>
      </c>
    </row>
    <row r="12" spans="1:9" s="35" customFormat="1" ht="15" customHeight="1">
      <c r="A12" s="154"/>
      <c r="B12" s="156"/>
      <c r="C12" s="160"/>
      <c r="D12" s="35" t="s">
        <v>309</v>
      </c>
      <c r="E12" s="35">
        <v>1987</v>
      </c>
      <c r="F12" s="35" t="s">
        <v>398</v>
      </c>
      <c r="G12" s="35">
        <v>280</v>
      </c>
      <c r="I12" s="35">
        <v>90</v>
      </c>
    </row>
    <row r="13" spans="1:9" s="35" customFormat="1" ht="14.25" customHeight="1">
      <c r="A13" s="154"/>
      <c r="B13" s="156"/>
      <c r="C13" s="161"/>
      <c r="D13" s="36" t="s">
        <v>318</v>
      </c>
      <c r="E13" s="36">
        <v>1994</v>
      </c>
      <c r="F13" s="36" t="s">
        <v>406</v>
      </c>
      <c r="G13" s="36">
        <v>210</v>
      </c>
      <c r="H13" s="36"/>
      <c r="I13" s="36">
        <v>110</v>
      </c>
    </row>
    <row r="14" spans="1:9" s="35" customFormat="1" ht="15" customHeight="1" thickBot="1">
      <c r="A14" s="154"/>
      <c r="B14" s="163"/>
      <c r="C14" s="90" t="s">
        <v>814</v>
      </c>
      <c r="D14" s="38" t="s">
        <v>344</v>
      </c>
      <c r="E14" s="38">
        <v>1990</v>
      </c>
      <c r="F14" s="38" t="s">
        <v>834</v>
      </c>
      <c r="G14" s="38">
        <v>430</v>
      </c>
      <c r="H14" s="38"/>
      <c r="I14" s="38">
        <v>130</v>
      </c>
    </row>
    <row r="15" spans="1:9" s="35" customFormat="1" ht="15" customHeight="1">
      <c r="A15" s="85"/>
      <c r="B15" s="86"/>
      <c r="C15" s="87"/>
      <c r="G15" s="35">
        <f>SUM(G2:G14)</f>
        <v>2440</v>
      </c>
      <c r="I15" s="35">
        <f>SUM(I2:I14)</f>
        <v>1030</v>
      </c>
    </row>
    <row r="16" spans="1:9" s="42" customFormat="1" ht="15" customHeight="1" thickBot="1">
      <c r="A16" s="39"/>
      <c r="B16" s="40"/>
      <c r="C16" s="41"/>
    </row>
    <row r="17" spans="1:9" s="35" customFormat="1" ht="15" customHeight="1" thickTop="1">
      <c r="A17" s="85"/>
      <c r="B17" s="32"/>
      <c r="C17" s="87"/>
    </row>
    <row r="18" spans="1:9" s="35" customFormat="1" ht="15" customHeight="1">
      <c r="A18" s="85"/>
      <c r="B18" s="32"/>
      <c r="C18" s="43"/>
      <c r="E18" s="32"/>
    </row>
    <row r="19" spans="1:9" s="35" customFormat="1" ht="19.5" thickBot="1">
      <c r="A19" s="85"/>
      <c r="B19" s="31" t="s">
        <v>784</v>
      </c>
      <c r="C19" s="31" t="s">
        <v>683</v>
      </c>
      <c r="D19" s="31" t="s">
        <v>73</v>
      </c>
      <c r="E19" s="31"/>
      <c r="F19" s="31" t="s">
        <v>271</v>
      </c>
      <c r="G19" s="31" t="s">
        <v>103</v>
      </c>
      <c r="H19" s="31" t="s">
        <v>509</v>
      </c>
    </row>
    <row r="20" spans="1:9" s="35" customFormat="1" ht="14.25" customHeight="1">
      <c r="A20" s="154" t="s">
        <v>779</v>
      </c>
      <c r="B20" s="155" t="s">
        <v>785</v>
      </c>
      <c r="C20" s="160" t="s">
        <v>743</v>
      </c>
      <c r="D20" s="35" t="s">
        <v>740</v>
      </c>
      <c r="E20" s="35">
        <v>1989</v>
      </c>
      <c r="F20" s="35" t="s">
        <v>782</v>
      </c>
      <c r="G20" s="35">
        <v>200</v>
      </c>
      <c r="I20" s="35">
        <v>50</v>
      </c>
    </row>
    <row r="21" spans="1:9" ht="14.25" customHeight="1">
      <c r="A21" s="154"/>
      <c r="B21" s="156"/>
      <c r="C21" s="160"/>
      <c r="D21" s="35" t="s">
        <v>741</v>
      </c>
      <c r="E21" s="35">
        <v>1990</v>
      </c>
      <c r="F21" s="35" t="s">
        <v>790</v>
      </c>
      <c r="G21" s="35">
        <v>150</v>
      </c>
      <c r="H21" s="35"/>
      <c r="I21" s="33">
        <v>60</v>
      </c>
    </row>
    <row r="22" spans="1:9" s="35" customFormat="1" ht="14.25" customHeight="1">
      <c r="A22" s="154"/>
      <c r="B22" s="156"/>
      <c r="C22" s="161"/>
      <c r="D22" s="36" t="s">
        <v>742</v>
      </c>
      <c r="E22" s="36">
        <v>1990</v>
      </c>
      <c r="F22" s="36" t="s">
        <v>791</v>
      </c>
      <c r="G22" s="36">
        <v>120</v>
      </c>
      <c r="H22" s="36"/>
      <c r="I22" s="36">
        <v>60</v>
      </c>
    </row>
    <row r="23" spans="1:9" s="35" customFormat="1" ht="14.25" customHeight="1">
      <c r="A23" s="154"/>
      <c r="B23" s="156"/>
      <c r="C23" s="162" t="s">
        <v>744</v>
      </c>
      <c r="D23" s="37" t="s">
        <v>745</v>
      </c>
      <c r="E23" s="37">
        <v>1976</v>
      </c>
      <c r="F23" s="37" t="s">
        <v>792</v>
      </c>
      <c r="G23" s="37">
        <v>40</v>
      </c>
      <c r="H23" s="37"/>
      <c r="I23" s="35">
        <v>30</v>
      </c>
    </row>
    <row r="24" spans="1:9" s="35" customFormat="1" ht="14.25" customHeight="1">
      <c r="A24" s="154"/>
      <c r="B24" s="156"/>
      <c r="C24" s="160"/>
      <c r="D24" s="35" t="s">
        <v>747</v>
      </c>
      <c r="E24" s="35">
        <v>1989</v>
      </c>
      <c r="F24" s="35" t="s">
        <v>795</v>
      </c>
      <c r="G24" s="35">
        <v>120</v>
      </c>
      <c r="I24" s="35">
        <v>60</v>
      </c>
    </row>
    <row r="25" spans="1:9" s="35" customFormat="1" ht="14.25" customHeight="1">
      <c r="A25" s="154"/>
      <c r="B25" s="156"/>
      <c r="C25" s="160"/>
      <c r="D25" s="35" t="s">
        <v>746</v>
      </c>
      <c r="E25" s="35">
        <v>1981</v>
      </c>
      <c r="F25" s="35" t="s">
        <v>794</v>
      </c>
      <c r="G25" s="35">
        <v>60</v>
      </c>
      <c r="I25" s="35">
        <v>50</v>
      </c>
    </row>
    <row r="26" spans="1:9" s="35" customFormat="1" ht="14.25" customHeight="1">
      <c r="A26" s="154"/>
      <c r="B26" s="156"/>
      <c r="C26" s="161"/>
      <c r="D26" s="36" t="s">
        <v>783</v>
      </c>
      <c r="E26" s="36">
        <v>1988</v>
      </c>
      <c r="F26" s="36" t="s">
        <v>793</v>
      </c>
      <c r="G26" s="36">
        <v>50</v>
      </c>
      <c r="H26" s="36"/>
      <c r="I26" s="36">
        <v>50</v>
      </c>
    </row>
    <row r="27" spans="1:9" s="35" customFormat="1" ht="14.25" customHeight="1">
      <c r="A27" s="154"/>
      <c r="B27" s="156"/>
      <c r="C27" s="162" t="s">
        <v>748</v>
      </c>
      <c r="D27" s="37" t="s">
        <v>750</v>
      </c>
      <c r="E27" s="37">
        <v>1974</v>
      </c>
      <c r="F27" s="37" t="s">
        <v>797</v>
      </c>
      <c r="G27" s="37">
        <v>50</v>
      </c>
      <c r="H27" s="37"/>
      <c r="I27" s="35">
        <v>30</v>
      </c>
    </row>
    <row r="28" spans="1:9" ht="14.25" customHeight="1">
      <c r="A28" s="154"/>
      <c r="B28" s="156"/>
      <c r="C28" s="160"/>
      <c r="D28" s="35" t="s">
        <v>751</v>
      </c>
      <c r="E28" s="35">
        <v>1985</v>
      </c>
      <c r="F28" s="35" t="s">
        <v>798</v>
      </c>
      <c r="G28" s="35">
        <v>50</v>
      </c>
      <c r="H28" s="35"/>
      <c r="I28" s="33">
        <v>40</v>
      </c>
    </row>
    <row r="29" spans="1:9" ht="14.25" customHeight="1">
      <c r="A29" s="154"/>
      <c r="B29" s="156"/>
      <c r="C29" s="160"/>
      <c r="D29" s="35" t="s">
        <v>749</v>
      </c>
      <c r="E29" s="35">
        <v>1970</v>
      </c>
      <c r="F29" s="35" t="s">
        <v>352</v>
      </c>
      <c r="G29" s="35">
        <v>50</v>
      </c>
      <c r="H29" s="35"/>
      <c r="I29" s="33">
        <v>60</v>
      </c>
    </row>
    <row r="30" spans="1:9" ht="14.25" customHeight="1">
      <c r="A30" s="154"/>
      <c r="B30" s="156"/>
      <c r="C30" s="160"/>
      <c r="D30" s="35" t="s">
        <v>739</v>
      </c>
      <c r="E30" s="35">
        <v>1940</v>
      </c>
      <c r="F30" s="35" t="s">
        <v>796</v>
      </c>
      <c r="G30" s="35">
        <v>150</v>
      </c>
      <c r="H30" s="35"/>
      <c r="I30" s="33">
        <v>60</v>
      </c>
    </row>
    <row r="31" spans="1:9" ht="15" customHeight="1">
      <c r="A31" s="154"/>
      <c r="B31" s="156"/>
      <c r="C31" s="160"/>
      <c r="D31" s="35" t="s">
        <v>753</v>
      </c>
      <c r="E31" s="35">
        <v>1989</v>
      </c>
      <c r="F31" s="35" t="s">
        <v>799</v>
      </c>
      <c r="G31" s="35">
        <v>200</v>
      </c>
      <c r="H31" s="35"/>
      <c r="I31" s="33">
        <v>105</v>
      </c>
    </row>
    <row r="32" spans="1:9" s="35" customFormat="1" ht="15" thickBot="1">
      <c r="A32" s="154"/>
      <c r="B32" s="163"/>
      <c r="C32" s="164"/>
      <c r="D32" s="38" t="s">
        <v>752</v>
      </c>
      <c r="E32" s="38">
        <v>1988</v>
      </c>
      <c r="F32" s="38" t="s">
        <v>827</v>
      </c>
      <c r="G32" s="38">
        <v>50</v>
      </c>
      <c r="H32" s="38"/>
      <c r="I32" s="35">
        <v>50</v>
      </c>
    </row>
    <row r="33" spans="1:9" s="35" customFormat="1">
      <c r="A33" s="85"/>
      <c r="B33" s="86"/>
      <c r="C33" s="87"/>
      <c r="G33" s="35">
        <f>SUM(G20:G32)</f>
        <v>1290</v>
      </c>
      <c r="I33" s="34">
        <f>SUM(I20:I32)</f>
        <v>705</v>
      </c>
    </row>
    <row r="34" spans="1:9" s="42" customFormat="1" ht="19.5" thickBot="1">
      <c r="A34" s="39"/>
      <c r="B34" s="40"/>
      <c r="C34" s="41"/>
    </row>
    <row r="35" spans="1:9" s="35" customFormat="1" ht="19.5" thickTop="1">
      <c r="A35" s="85"/>
      <c r="B35" s="32"/>
      <c r="C35" s="87"/>
    </row>
    <row r="36" spans="1:9">
      <c r="A36" s="85"/>
      <c r="B36" s="32"/>
      <c r="C36" s="43"/>
      <c r="D36" s="35"/>
      <c r="E36" s="32"/>
      <c r="F36" s="35"/>
      <c r="G36" s="35"/>
      <c r="H36" s="35"/>
    </row>
    <row r="37" spans="1:9" ht="15" customHeight="1" thickBot="1">
      <c r="A37" s="85"/>
      <c r="B37" s="31" t="s">
        <v>784</v>
      </c>
      <c r="C37" s="31" t="s">
        <v>683</v>
      </c>
      <c r="D37" s="31" t="s">
        <v>73</v>
      </c>
      <c r="E37" s="31"/>
      <c r="F37" s="31" t="s">
        <v>271</v>
      </c>
      <c r="G37" s="31" t="s">
        <v>103</v>
      </c>
      <c r="H37" s="31" t="s">
        <v>509</v>
      </c>
    </row>
    <row r="38" spans="1:9" ht="15" customHeight="1">
      <c r="A38" s="154" t="s">
        <v>780</v>
      </c>
      <c r="B38" s="155" t="s">
        <v>787</v>
      </c>
      <c r="C38" s="87" t="s">
        <v>765</v>
      </c>
      <c r="D38" s="35" t="s">
        <v>773</v>
      </c>
      <c r="E38" s="35">
        <v>1982</v>
      </c>
      <c r="F38" s="35" t="s">
        <v>801</v>
      </c>
      <c r="G38" s="35">
        <v>100</v>
      </c>
      <c r="H38" s="35"/>
      <c r="I38" s="33">
        <v>50</v>
      </c>
    </row>
    <row r="39" spans="1:9" ht="15" customHeight="1">
      <c r="A39" s="154"/>
      <c r="B39" s="156"/>
      <c r="C39" s="44" t="s">
        <v>762</v>
      </c>
      <c r="D39" s="45" t="s">
        <v>770</v>
      </c>
      <c r="E39" s="45">
        <v>1938</v>
      </c>
      <c r="F39" s="45" t="s">
        <v>800</v>
      </c>
      <c r="G39" s="45">
        <v>50</v>
      </c>
      <c r="H39" s="45"/>
      <c r="I39" s="33">
        <v>70</v>
      </c>
    </row>
    <row r="40" spans="1:9" ht="15" customHeight="1">
      <c r="A40" s="154"/>
      <c r="B40" s="157"/>
      <c r="C40" s="88" t="s">
        <v>768</v>
      </c>
      <c r="D40" s="36" t="s">
        <v>777</v>
      </c>
      <c r="E40" s="36">
        <v>1964</v>
      </c>
      <c r="F40" s="36" t="s">
        <v>802</v>
      </c>
      <c r="G40" s="36">
        <v>70</v>
      </c>
      <c r="H40" s="36"/>
      <c r="I40" s="33">
        <v>50</v>
      </c>
    </row>
    <row r="41" spans="1:9" ht="15" customHeight="1">
      <c r="A41" s="154"/>
      <c r="B41" s="158" t="s">
        <v>788</v>
      </c>
      <c r="C41" s="89" t="s">
        <v>761</v>
      </c>
      <c r="D41" s="37" t="s">
        <v>769</v>
      </c>
      <c r="E41" s="37">
        <v>1970</v>
      </c>
      <c r="F41" s="33" t="s">
        <v>803</v>
      </c>
      <c r="G41" s="37">
        <v>400</v>
      </c>
      <c r="H41" s="37"/>
      <c r="I41" s="33">
        <v>90</v>
      </c>
    </row>
    <row r="42" spans="1:9" ht="15" customHeight="1">
      <c r="A42" s="154"/>
      <c r="B42" s="156"/>
      <c r="C42" s="162" t="s">
        <v>767</v>
      </c>
      <c r="D42" s="37" t="s">
        <v>775</v>
      </c>
      <c r="E42" s="37">
        <v>1974</v>
      </c>
      <c r="F42" s="37" t="s">
        <v>804</v>
      </c>
      <c r="G42" s="37">
        <v>700</v>
      </c>
      <c r="H42" s="37"/>
      <c r="I42" s="33">
        <v>90</v>
      </c>
    </row>
    <row r="43" spans="1:9" ht="15" customHeight="1">
      <c r="A43" s="154"/>
      <c r="B43" s="157"/>
      <c r="C43" s="161"/>
      <c r="D43" s="36" t="s">
        <v>776</v>
      </c>
      <c r="E43" s="36">
        <v>1986</v>
      </c>
      <c r="F43" s="36" t="s">
        <v>805</v>
      </c>
      <c r="G43" s="36">
        <v>700</v>
      </c>
      <c r="H43" s="36"/>
      <c r="I43" s="33">
        <v>100</v>
      </c>
    </row>
    <row r="44" spans="1:9" ht="15" customHeight="1">
      <c r="A44" s="154"/>
      <c r="B44" s="158" t="s">
        <v>789</v>
      </c>
      <c r="C44" s="89" t="s">
        <v>757</v>
      </c>
      <c r="D44" s="37" t="s">
        <v>758</v>
      </c>
      <c r="E44" s="37">
        <v>1957</v>
      </c>
      <c r="F44" s="35" t="s">
        <v>806</v>
      </c>
      <c r="G44" s="37">
        <v>150</v>
      </c>
      <c r="H44" s="37"/>
      <c r="I44" s="33">
        <v>40</v>
      </c>
    </row>
    <row r="45" spans="1:9" ht="14.25" customHeight="1">
      <c r="A45" s="154"/>
      <c r="B45" s="157"/>
      <c r="C45" s="44" t="s">
        <v>763</v>
      </c>
      <c r="D45" s="45" t="s">
        <v>771</v>
      </c>
      <c r="E45" s="45">
        <v>1941</v>
      </c>
      <c r="F45" s="45" t="s">
        <v>781</v>
      </c>
      <c r="G45" s="45">
        <v>260</v>
      </c>
      <c r="H45" s="45"/>
      <c r="I45" s="33">
        <v>50</v>
      </c>
    </row>
    <row r="46" spans="1:9" ht="14.25" customHeight="1">
      <c r="A46" s="154"/>
      <c r="B46" s="158" t="s">
        <v>780</v>
      </c>
      <c r="C46" s="162" t="s">
        <v>756</v>
      </c>
      <c r="D46" s="35" t="s">
        <v>754</v>
      </c>
      <c r="E46" s="35">
        <v>1944</v>
      </c>
      <c r="F46" s="35" t="s">
        <v>807</v>
      </c>
      <c r="G46" s="35">
        <v>240</v>
      </c>
      <c r="H46" s="35"/>
      <c r="I46" s="33">
        <v>50</v>
      </c>
    </row>
    <row r="47" spans="1:9" ht="14.25" customHeight="1">
      <c r="A47" s="154"/>
      <c r="B47" s="156"/>
      <c r="C47" s="160"/>
      <c r="D47" s="35" t="s">
        <v>755</v>
      </c>
      <c r="E47" s="35">
        <v>1957</v>
      </c>
      <c r="F47" s="35" t="s">
        <v>808</v>
      </c>
      <c r="G47" s="35">
        <v>300</v>
      </c>
      <c r="H47" s="35"/>
      <c r="I47" s="33">
        <v>80</v>
      </c>
    </row>
    <row r="48" spans="1:9" ht="14.25" customHeight="1">
      <c r="A48" s="154"/>
      <c r="B48" s="156"/>
      <c r="C48" s="89" t="s">
        <v>766</v>
      </c>
      <c r="D48" s="37" t="s">
        <v>774</v>
      </c>
      <c r="E48" s="37">
        <v>1960</v>
      </c>
      <c r="F48" s="37" t="s">
        <v>811</v>
      </c>
      <c r="G48" s="37">
        <v>150</v>
      </c>
      <c r="H48" s="37"/>
      <c r="I48" s="33">
        <v>50</v>
      </c>
    </row>
    <row r="49" spans="1:9" ht="14.25" customHeight="1">
      <c r="A49" s="154"/>
      <c r="B49" s="156"/>
      <c r="C49" s="89" t="s">
        <v>764</v>
      </c>
      <c r="D49" s="37" t="s">
        <v>772</v>
      </c>
      <c r="E49" s="37">
        <v>1984</v>
      </c>
      <c r="F49" s="37" t="s">
        <v>810</v>
      </c>
      <c r="G49" s="37">
        <v>200</v>
      </c>
      <c r="H49" s="37"/>
      <c r="I49" s="33">
        <v>60</v>
      </c>
    </row>
    <row r="50" spans="1:9" ht="14.25" customHeight="1" thickBot="1">
      <c r="A50" s="154"/>
      <c r="B50" s="163"/>
      <c r="C50" s="46" t="s">
        <v>760</v>
      </c>
      <c r="D50" s="47" t="s">
        <v>759</v>
      </c>
      <c r="E50" s="47">
        <v>1971</v>
      </c>
      <c r="F50" s="47" t="s">
        <v>809</v>
      </c>
      <c r="G50" s="47">
        <v>150</v>
      </c>
      <c r="H50" s="47"/>
      <c r="I50" s="38">
        <v>60</v>
      </c>
    </row>
    <row r="51" spans="1:9" ht="14.25" customHeight="1">
      <c r="A51" s="85"/>
      <c r="B51" s="86"/>
      <c r="C51" s="87"/>
      <c r="D51" s="35"/>
      <c r="E51" s="35"/>
      <c r="F51" s="35"/>
      <c r="G51" s="35">
        <f>SUM(G38:G50)</f>
        <v>3470</v>
      </c>
      <c r="H51" s="35"/>
      <c r="I51" s="35">
        <f>SUM(I38:I50)</f>
        <v>840</v>
      </c>
    </row>
    <row r="52" spans="1:9" s="42" customFormat="1" ht="14.25" customHeight="1" thickBot="1">
      <c r="A52" s="39"/>
      <c r="B52" s="40"/>
      <c r="C52" s="41"/>
    </row>
    <row r="53" spans="1:9" ht="14.25" customHeight="1" thickTop="1">
      <c r="A53" s="48"/>
    </row>
    <row r="57" spans="1:9">
      <c r="F57" s="49"/>
    </row>
    <row r="58" spans="1:9">
      <c r="F58" s="49"/>
    </row>
    <row r="59" spans="1:9">
      <c r="F59" s="49"/>
    </row>
    <row r="60" spans="1:9">
      <c r="F60" s="49"/>
    </row>
    <row r="68" spans="3:16">
      <c r="C68" s="49"/>
      <c r="D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3:16">
      <c r="C69" s="49"/>
      <c r="D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spans="3:16">
      <c r="C70" s="49"/>
      <c r="D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spans="3:16">
      <c r="C71" s="49"/>
      <c r="D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</row>
    <row r="72" spans="3:16">
      <c r="C72" s="49"/>
      <c r="D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 spans="3:16">
      <c r="C73" s="49"/>
      <c r="D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3:16">
      <c r="C74" s="49"/>
      <c r="D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 spans="3:16">
      <c r="C75" s="49"/>
      <c r="D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3:16">
      <c r="C76" s="49"/>
      <c r="D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 spans="3:16">
      <c r="C77" s="49"/>
      <c r="D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</row>
  </sheetData>
  <mergeCells count="16">
    <mergeCell ref="A38:A50"/>
    <mergeCell ref="B38:B40"/>
    <mergeCell ref="B41:B43"/>
    <mergeCell ref="B44:B45"/>
    <mergeCell ref="C2:C8"/>
    <mergeCell ref="C9:C13"/>
    <mergeCell ref="C42:C43"/>
    <mergeCell ref="B46:B50"/>
    <mergeCell ref="C46:C47"/>
    <mergeCell ref="A2:A14"/>
    <mergeCell ref="B2:B14"/>
    <mergeCell ref="A20:A32"/>
    <mergeCell ref="B20:B32"/>
    <mergeCell ref="C20:C22"/>
    <mergeCell ref="C23:C26"/>
    <mergeCell ref="C27:C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big 500</vt:lpstr>
      <vt:lpstr>Croquiteca Raiz 1000</vt:lpstr>
      <vt:lpstr>Anhangava</vt:lpstr>
      <vt:lpstr>Boulder Anhangava</vt:lpstr>
      <vt:lpstr>Castelinhos do Anhangava</vt:lpstr>
      <vt:lpstr>Morro do Canal</vt:lpstr>
      <vt:lpstr>Ibitiraquire</vt:lpstr>
      <vt:lpstr>Marumbi</vt:lpstr>
      <vt:lpstr>São Luis Purunã</vt:lpstr>
      <vt:lpstr>Macarrão Ponta Grossa</vt:lpstr>
      <vt:lpstr>Desempenhos Big 1000 e 500</vt:lpstr>
      <vt:lpstr>Treino fendas Anhangava</vt:lpstr>
      <vt:lpstr>Desafio Vias Históricas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Ollyver Bizarro</dc:creator>
  <cp:lastModifiedBy>Eli</cp:lastModifiedBy>
  <cp:lastPrinted>2019-05-24T22:44:42Z</cp:lastPrinted>
  <dcterms:created xsi:type="dcterms:W3CDTF">2015-06-09T12:57:32Z</dcterms:created>
  <dcterms:modified xsi:type="dcterms:W3CDTF">2019-06-23T18:02:47Z</dcterms:modified>
</cp:coreProperties>
</file>